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Prices" sheetId="2" state="visible" r:id="rId4"/>
    <sheet name="Monthly Returns" sheetId="3" state="visible" r:id="rId5"/>
    <sheet name="Stats" sheetId="4" state="visible" r:id="rId6"/>
    <sheet name="Covariance Matrix" sheetId="5" state="visible" r:id="rId7"/>
    <sheet name="Optimization" sheetId="6" state="visible" r:id="rId8"/>
    <sheet name="Rebalancing Weights (Phase 4)" sheetId="7" state="visible" r:id="rId9"/>
    <sheet name="Backtest (Phase 5)" sheetId="8" state="visible" r:id="rId10"/>
    <sheet name="Performance Metrics (Phase 6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<sst xmlns="http://schemas.openxmlformats.org/spreadsheetml/2006/main" count="189" uniqueCount="116">
  <si>
    <t xml:space="preserve">Portfolio Project Workbook — Phases 1 through 6 (9 of 10 stocks REAL)</t>
  </si>
  <si>
    <t xml:space="preserve">STATUS</t>
  </si>
  <si>
    <t xml:space="preserve">9 of 10 stocks are REAL, verified data: HDFC Bank, ICICI Bank, Infosys, TCS, HUL, ITC, Maruti Suzuki, Sun Pharma, Reliance.</t>
  </si>
  <si>
    <t xml:space="preserve">Nifty 50 benchmark: REAL, from Kaggle NSE dataset, through Feb 2026.</t>
  </si>
  <si>
    <t xml:space="preserve">TCS has a few ORANGE cells from a low-res screenshot — re-verify before final submission.</t>
  </si>
  <si>
    <t xml:space="preserve">Tata Motors is the ONLY remaining gap (yellow). Real reason: Tata Motors demerged in Oct-Nov 2025 into TMPV (Passenger Vehicles, stays in Nifty 50) and TMCV (Commercial Vehicles, new listing). Search 'TMPV.NS' on Yahoo Finance for the continuous historical series.</t>
  </si>
  <si>
    <t xml:space="preserve">WHAT'S DONE</t>
  </si>
  <si>
    <t xml:space="preserve">Phases 1, 2, 3 fully built for all 10 stocks — will auto-complete the instant TMPV data is pasted in.</t>
  </si>
  <si>
    <t xml:space="preserve">Phases 4, 5, 6 have been run as a REAL 9-STOCK analysis (real Minimum-Variance Optimization, mathematically identical to Solver), 26 real rebalancing months, backtested against naive equal-weight and the real Nifty 50 benchmark.</t>
  </si>
  <si>
    <t xml:space="preserve">LAST STEP REMAINING</t>
  </si>
  <si>
    <t xml:space="preserve">1. Get TMPV.NS monthly Adj Close (Jun 2023 - Feb 2026) from Yahoo Finance, paste into 'Raw Prices'.</t>
  </si>
  <si>
    <t xml:space="preserve">2. Re-run Solver on 'Optimization' tab for the full 10-stock set; update 'Rebalancing Weights' with final weights.</t>
  </si>
  <si>
    <t xml:space="preserve">3. Re-run Phase 5/6 backtest with all 10 stocks for your final submission numbers.</t>
  </si>
  <si>
    <t xml:space="preserve">ASSUMPTIONS TO STATE IN YOUR REPORT</t>
  </si>
  <si>
    <t xml:space="preserve">Sharpe ratio uses an assumed risk-free rate of 6.5% p.a. (approx. India 10-Year G-Sec yield).</t>
  </si>
  <si>
    <t xml:space="preserve">32 real monthly returns (Jun 2023-Feb 2026), not 36, reflects genuine real-data limits (Kaggle Nifty data ends Feb 2026).</t>
  </si>
  <si>
    <t xml:space="preserve">Rolling optimization starts after a 6-month minimum lookback window, giving 26 real rebalancing months.</t>
  </si>
  <si>
    <t xml:space="preserve">COLOR LEGEND</t>
  </si>
  <si>
    <t xml:space="preserve">Green = real, verified data</t>
  </si>
  <si>
    <t xml:space="preserve">Orange = real data, low confidence, re-check</t>
  </si>
  <si>
    <t xml:space="preserve">Yellow = blank, paste real data here</t>
  </si>
  <si>
    <t xml:space="preserve">Blue = 9-stock demo result (real computation, 1 stock pending)</t>
  </si>
  <si>
    <t xml:space="preserve">Date</t>
  </si>
  <si>
    <t xml:space="preserve">HDFC Bank
(HDFCBANK.NS)</t>
  </si>
  <si>
    <t xml:space="preserve">ICICI Bank
(ICICIBANK.NS)</t>
  </si>
  <si>
    <t xml:space="preserve">Infosys
(INFY.NS)</t>
  </si>
  <si>
    <t xml:space="preserve">TCS
(TCS.NS)</t>
  </si>
  <si>
    <t xml:space="preserve">Hindustan Unilever
(HINDUNILVR.NS)</t>
  </si>
  <si>
    <t xml:space="preserve">ITC
(ITC.NS)</t>
  </si>
  <si>
    <t xml:space="preserve">Maruti Suzuki
(MARUTI.NS)</t>
  </si>
  <si>
    <t xml:space="preserve">Tata Motors (TMPV)
(TMPV.NS)</t>
  </si>
  <si>
    <t xml:space="preserve">Sun Pharma
(SUNPHARMA.NS)</t>
  </si>
  <si>
    <t xml:space="preserve">Reliance Industries
(RELIANCE.NS)</t>
  </si>
  <si>
    <t xml:space="preserve">Nifty 50 (Benchmark)
(^NSEI)</t>
  </si>
  <si>
    <t xml:space="preserve">Stock</t>
  </si>
  <si>
    <t xml:space="preserve">Ticker</t>
  </si>
  <si>
    <t xml:space="preserve">Avg Monthly Return</t>
  </si>
  <si>
    <t xml:space="preserve">Monthly Std Dev (Volatility)</t>
  </si>
  <si>
    <t xml:space="preserve">HDFC Bank</t>
  </si>
  <si>
    <t xml:space="preserve">HDFCBANK.NS</t>
  </si>
  <si>
    <t xml:space="preserve">ICICI Bank</t>
  </si>
  <si>
    <t xml:space="preserve">ICICIBANK.NS</t>
  </si>
  <si>
    <t xml:space="preserve">Infosys</t>
  </si>
  <si>
    <t xml:space="preserve">INFY.NS</t>
  </si>
  <si>
    <t xml:space="preserve">TCS</t>
  </si>
  <si>
    <t xml:space="preserve">TCS.NS</t>
  </si>
  <si>
    <t xml:space="preserve">Hindustan Unilever</t>
  </si>
  <si>
    <t xml:space="preserve">HINDUNILVR.NS</t>
  </si>
  <si>
    <t xml:space="preserve">ITC</t>
  </si>
  <si>
    <t xml:space="preserve">ITC.NS</t>
  </si>
  <si>
    <t xml:space="preserve">Maruti Suzuki</t>
  </si>
  <si>
    <t xml:space="preserve">MARUTI.NS</t>
  </si>
  <si>
    <t xml:space="preserve">Tata Motors (TMPV)</t>
  </si>
  <si>
    <t xml:space="preserve">TMPV.NS</t>
  </si>
  <si>
    <t xml:space="preserve">Sun Pharma</t>
  </si>
  <si>
    <t xml:space="preserve">SUNPHARMA.NS</t>
  </si>
  <si>
    <t xml:space="preserve">Reliance Industries</t>
  </si>
  <si>
    <t xml:space="preserve">RELIANCE.NS</t>
  </si>
  <si>
    <t xml:space="preserve">Nifty 50 (Benchmark)</t>
  </si>
  <si>
    <t xml:space="preserve">^NSEI</t>
  </si>
  <si>
    <t xml:space="preserve">Portfolio Weight (Solver changes this row)</t>
  </si>
  <si>
    <t xml:space="preserve">Sum of Weights (must equal 100%)</t>
  </si>
  <si>
    <t xml:space="preserve">Weighted Covariance Contribution (helper row)</t>
  </si>
  <si>
    <t xml:space="preserve">Portfolio Variance &lt;-- SOLVER OBJECTIVE (minimize)</t>
  </si>
  <si>
    <t xml:space="preserve">Portfolio Std Dev</t>
  </si>
  <si>
    <t xml:space="preserve">Expected Portfolio Return (monthly)</t>
  </si>
  <si>
    <t xml:space="preserve">HOW TO SET UP SOLVER (Data tab -&gt; Solver)</t>
  </si>
  <si>
    <t xml:space="preserve">Objective: Set Cell = B7 (Portfolio Variance) -&gt; To: Min</t>
  </si>
  <si>
    <t xml:space="preserve">By Changing Variable Cells: B2:K2</t>
  </si>
  <si>
    <t xml:space="preserve">Constraints: SUM(B2:K2)=1 ; B2:K2 &gt;= 0 ; optional B2:K2 &lt;= 0.25</t>
  </si>
  <si>
    <t xml:space="preserve">Solving Method: GRG Nonlinear</t>
  </si>
  <si>
    <t xml:space="preserve">Month (9-stock REAL demo; Tata Motors/TMPV column waits for data + Solver)</t>
  </si>
  <si>
    <t xml:space="preserve">HDFCBANK</t>
  </si>
  <si>
    <t xml:space="preserve">ICICIBANK</t>
  </si>
  <si>
    <t xml:space="preserve">INFY</t>
  </si>
  <si>
    <t xml:space="preserve">HINDUNILVR</t>
  </si>
  <si>
    <t xml:space="preserve">MARUTI</t>
  </si>
  <si>
    <t xml:space="preserve">TMPV</t>
  </si>
  <si>
    <t xml:space="preserve">SUNPHARMA</t>
  </si>
  <si>
    <t xml:space="preserve">RELIANCE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</si>
  <si>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</si>
  <si>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</si>
  <si>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</si>
  <si>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</si>
  <si>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</si>
  <si>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</si>
  <si>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</si>
  <si>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</si>
  <si>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</si>
  <si>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</si>
  <si>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</si>
  <si>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</si>
  <si>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</si>
  <si>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</si>
  <si>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</si>
  <si>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</si>
  <si>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</si>
  <si>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</si>
  <si>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</si>
  <si>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</si>
  <si>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</si>
  <si>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</si>
  <si>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</si>
  <si>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</si>
  <si>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</si>
  <si>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</si>
  <si>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Month</t>
  </si>
  <si>
    <t xml:space="preserve">Optimized (9-stock, real)</t>
  </si>
  <si>
    <t xml:space="preserve">Naive Equal-Weight (9-stock)</t>
  </si>
  <si>
    <t xml:space="preserve">Nifty 50 (Real Benchmark)</t>
  </si>
  <si>
    <t xml:space="preserve">Metric</t>
  </si>
  <si>
    <t xml:space="preserve">CAGR (annualized)</t>
  </si>
  <si>
    <t xml:space="preserve">Annualized Volatility</t>
  </si>
  <si>
    <t xml:space="preserve">Sharpe Ratio (rf=6.5% p.a.)</t>
  </si>
  <si>
    <t xml:space="preserve">Max Drawdown</t>
  </si>
  <si>
    <t xml:space="preserve">NOTE: Uses the 9 stocks with real data over 26 real rebalancing months (after 6-month lookback). Add Tata Motors (TMPV.NS) and re-run Solver for the final 10-stock result.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</si>
</sst>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0.00"/>
    <numFmt numFmtId="167" formatCode="0.00%"/>
    <numFmt numFmtId="168" formatCode="0.000%"/>
    <numFmt numFmtId="169" formatCode="0.0000%"/>
    <numFmt numFmtId="170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2F3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0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Backtest: Optimized vs Naive vs Nifty 50 (base=100)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'Backtest (Phase 5)'!B1</c:f>
              <c:strCache>
                <c:ptCount val="1"/>
                <c:pt idx="0">
                  <c:v>Optimized (9-stock, real)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'Backtest (Phase 5)'!$A$2:$A$27</c:f>
              <c:strCache>
                <c:ptCount val="2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</c:strCache>
            </c:strRef>
          </c:cat>
          <c:val>
            <c:numRef>
              <c:f>'Backtest (Phase 5)'!$B$2:$B$27</c:f>
              <c:numCache>
                <c:formatCode>0.00</c:formatCode>
                <c:ptCount val="26"/>
                <c:pt idx="0">
                  <c:v>98.3784683228977</c:v>
                </c:pt>
                <c:pt idx="1">
                  <c:v>102.126184184783</c:v>
                </c:pt>
                <c:pt idx="2">
                  <c:v>104.041349653009</c:v>
                </c:pt>
                <c:pt idx="3">
                  <c:v>104.058513614513</c:v>
                </c:pt>
                <c:pt idx="4">
                  <c:v>103.134922726725</c:v>
                </c:pt>
                <c:pt idx="5">
                  <c:v>107.235494815609</c:v>
                </c:pt>
                <c:pt idx="6">
                  <c:v>118.930531583853</c:v>
                </c:pt>
                <c:pt idx="7">
                  <c:v>118.458507825062</c:v>
                </c:pt>
                <c:pt idx="8">
                  <c:v>123.256878911922</c:v>
                </c:pt>
                <c:pt idx="9">
                  <c:v>111.427819964431</c:v>
                </c:pt>
                <c:pt idx="10">
                  <c:v>113.466863210057</c:v>
                </c:pt>
                <c:pt idx="11">
                  <c:v>111.88211873988</c:v>
                </c:pt>
                <c:pt idx="12">
                  <c:v>112.377959840112</c:v>
                </c:pt>
                <c:pt idx="13">
                  <c:v>108.161765485767</c:v>
                </c:pt>
                <c:pt idx="14">
                  <c:v>112.956010107634</c:v>
                </c:pt>
                <c:pt idx="15">
                  <c:v>118.135279119057</c:v>
                </c:pt>
                <c:pt idx="16">
                  <c:v>120.202621764146</c:v>
                </c:pt>
                <c:pt idx="17">
                  <c:v>122.626815055616</c:v>
                </c:pt>
                <c:pt idx="18">
                  <c:v>122.547441007261</c:v>
                </c:pt>
                <c:pt idx="19">
                  <c:v>123.566335252999</c:v>
                </c:pt>
                <c:pt idx="20">
                  <c:v>124.333492393904</c:v>
                </c:pt>
                <c:pt idx="21">
                  <c:v>127.294612915373</c:v>
                </c:pt>
                <c:pt idx="22">
                  <c:v>129.794492568524</c:v>
                </c:pt>
                <c:pt idx="23">
                  <c:v>130.339644236415</c:v>
                </c:pt>
                <c:pt idx="24">
                  <c:v>124.494235403973</c:v>
                </c:pt>
                <c:pt idx="25">
                  <c:v>119.43398560043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'Backtest (Phase 5)'!C1</c:f>
              <c:strCache>
                <c:ptCount val="1"/>
                <c:pt idx="0">
                  <c:v>Naive Equal-Weight (9-stock)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'Backtest (Phase 5)'!$A$2:$A$27</c:f>
              <c:strCache>
                <c:ptCount val="2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</c:strCache>
            </c:strRef>
          </c:cat>
          <c:val>
            <c:numRef>
              <c:f>'Backtest (Phase 5)'!$C$2:$C$27</c:f>
              <c:numCache>
                <c:formatCode>0.00</c:formatCode>
                <c:ptCount val="26"/>
                <c:pt idx="0">
                  <c:v>101.140469138523</c:v>
                </c:pt>
                <c:pt idx="1">
                  <c:v>103.060513310545</c:v>
                </c:pt>
                <c:pt idx="2">
                  <c:v>103.84676461805</c:v>
                </c:pt>
                <c:pt idx="3">
                  <c:v>103.758862572684</c:v>
                </c:pt>
                <c:pt idx="4">
                  <c:v>102.598792587143</c:v>
                </c:pt>
                <c:pt idx="5">
                  <c:v>109.300379059637</c:v>
                </c:pt>
                <c:pt idx="6">
                  <c:v>117.502772370724</c:v>
                </c:pt>
                <c:pt idx="7">
                  <c:v>119.188677383194</c:v>
                </c:pt>
                <c:pt idx="8">
                  <c:v>123.457655563876</c:v>
                </c:pt>
                <c:pt idx="9">
                  <c:v>114.278526116676</c:v>
                </c:pt>
                <c:pt idx="10">
                  <c:v>114.02028618893</c:v>
                </c:pt>
                <c:pt idx="11">
                  <c:v>113.442645788491</c:v>
                </c:pt>
                <c:pt idx="12">
                  <c:v>112.366484719261</c:v>
                </c:pt>
                <c:pt idx="13">
                  <c:v>106.061113873196</c:v>
                </c:pt>
                <c:pt idx="14">
                  <c:v>109.96911525433</c:v>
                </c:pt>
                <c:pt idx="15">
                  <c:v>113.24722330173</c:v>
                </c:pt>
                <c:pt idx="16">
                  <c:v>113.953779233573</c:v>
                </c:pt>
                <c:pt idx="17">
                  <c:v>115.603139865308</c:v>
                </c:pt>
                <c:pt idx="18">
                  <c:v>114.414845831788</c:v>
                </c:pt>
                <c:pt idx="19">
                  <c:v>115.16334100336</c:v>
                </c:pt>
                <c:pt idx="20">
                  <c:v>114.073643751914</c:v>
                </c:pt>
                <c:pt idx="21">
                  <c:v>117.299148485451</c:v>
                </c:pt>
                <c:pt idx="22">
                  <c:v>119.078419182261</c:v>
                </c:pt>
                <c:pt idx="23">
                  <c:v>118.938865213556</c:v>
                </c:pt>
                <c:pt idx="24">
                  <c:v>112.383071595725</c:v>
                </c:pt>
                <c:pt idx="25">
                  <c:v>108.652019267331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'Backtest (Phase 5)'!D1</c:f>
              <c:strCache>
                <c:ptCount val="1"/>
                <c:pt idx="0">
                  <c:v>Nifty 50 (Real Benchmark)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'Backtest (Phase 5)'!$A$2:$A$27</c:f>
              <c:strCache>
                <c:ptCount val="26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</c:strCache>
            </c:strRef>
          </c:cat>
          <c:val>
            <c:numRef>
              <c:f>'Backtest (Phase 5)'!$D$2:$D$27</c:f>
              <c:numCache>
                <c:formatCode>0.00</c:formatCode>
                <c:ptCount val="26"/>
                <c:pt idx="0">
                  <c:v>99.9737652802055</c:v>
                </c:pt>
                <c:pt idx="1">
                  <c:v>101.156853150173</c:v>
                </c:pt>
                <c:pt idx="2">
                  <c:v>102.740274392287</c:v>
                </c:pt>
                <c:pt idx="3">
                  <c:v>104.019295592022</c:v>
                </c:pt>
                <c:pt idx="4">
                  <c:v>103.678082468772</c:v>
                </c:pt>
                <c:pt idx="5">
                  <c:v>110.488045763235</c:v>
                </c:pt>
                <c:pt idx="6">
                  <c:v>114.816118345201</c:v>
                </c:pt>
                <c:pt idx="7">
                  <c:v>116.126434269976</c:v>
                </c:pt>
                <c:pt idx="8">
                  <c:v>118.77214143866</c:v>
                </c:pt>
                <c:pt idx="9">
                  <c:v>111.384214424693</c:v>
                </c:pt>
                <c:pt idx="10">
                  <c:v>111.042542932456</c:v>
                </c:pt>
                <c:pt idx="11">
                  <c:v>108.804772612779</c:v>
                </c:pt>
                <c:pt idx="12">
                  <c:v>108.177107632401</c:v>
                </c:pt>
                <c:pt idx="13">
                  <c:v>101.809818147582</c:v>
                </c:pt>
                <c:pt idx="14">
                  <c:v>108.227491950958</c:v>
                </c:pt>
                <c:pt idx="15">
                  <c:v>111.977133462038</c:v>
                </c:pt>
                <c:pt idx="16">
                  <c:v>113.893714963949</c:v>
                </c:pt>
                <c:pt idx="17">
                  <c:v>117.420186098857</c:v>
                </c:pt>
                <c:pt idx="18">
                  <c:v>113.97493563856</c:v>
                </c:pt>
                <c:pt idx="19">
                  <c:v>112.403476856081</c:v>
                </c:pt>
                <c:pt idx="20">
                  <c:v>113.251328336818</c:v>
                </c:pt>
                <c:pt idx="21">
                  <c:v>118.363746220666</c:v>
                </c:pt>
                <c:pt idx="22">
                  <c:v>120.57644122121</c:v>
                </c:pt>
                <c:pt idx="23">
                  <c:v>120.238912996244</c:v>
                </c:pt>
                <c:pt idx="24">
                  <c:v>116.516422942934</c:v>
                </c:pt>
                <c:pt idx="25">
                  <c:v>115.862990594143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598401"/>
        <c:axId val="63872831"/>
      </c:lineChart>
      <c:catAx>
        <c:axId val="755984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72831"/>
        <c:crosses val="autoZero"/>
        <c:auto val="1"/>
        <c:lblAlgn val="ctr"/>
        <c:lblOffset val="100"/>
        <c:noMultiLvlLbl val="0"/>
      </c:catAx>
      <c:valAx>
        <c:axId val="63872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98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19</xdr:col>
      <xdr:colOff>78480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709596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5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6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6" t="s">
        <v>10</v>
      </c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6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6" t="s">
        <v>14</v>
      </c>
    </row>
    <row r="20" customFormat="false" ht="15" hidden="false" customHeight="false" outlineLevel="0" collapsed="false">
      <c r="A20" s="6" t="s">
        <v>15</v>
      </c>
    </row>
    <row r="21" customFormat="false" ht="15" hidden="false" customHeight="false" outlineLevel="0" collapsed="false">
      <c r="A21" s="6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5" t="s">
        <v>20</v>
      </c>
    </row>
    <row r="27" customFormat="false" ht="15" hidden="false" customHeight="false" outlineLevel="0" collapsed="false">
      <c r="A27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2" min="2" style="0" width="16"/>
  </cols>
  <sheetData>
    <row r="1" customFormat="false" ht="30" hidden="false" customHeight="true" outlineLevel="0" collapsed="false">
      <c r="A1" s="8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</row>
    <row r="2" customFormat="false" ht="15" hidden="false" customHeight="false" outlineLevel="0" collapsed="false">
      <c r="A2" s="10" t="n">
        <v>45107</v>
      </c>
      <c r="B2" s="11" t="n">
        <v>814.57</v>
      </c>
      <c r="C2" s="11" t="n">
        <v>904.4</v>
      </c>
      <c r="D2" s="11" t="n">
        <v>1214.99</v>
      </c>
      <c r="E2" s="11" t="n">
        <v>3002.28</v>
      </c>
      <c r="F2" s="11" t="n">
        <v>2529.81</v>
      </c>
      <c r="G2" s="11" t="n">
        <v>387.63</v>
      </c>
      <c r="H2" s="11" t="n">
        <v>9409.68</v>
      </c>
      <c r="I2" s="12"/>
      <c r="J2" s="11" t="n">
        <v>1019.74</v>
      </c>
      <c r="K2" s="11" t="n">
        <v>1158.82</v>
      </c>
      <c r="L2" s="11" t="n">
        <v>19189.050781</v>
      </c>
    </row>
    <row r="3" customFormat="false" ht="15" hidden="false" customHeight="false" outlineLevel="0" collapsed="false">
      <c r="A3" s="10" t="n">
        <v>45138</v>
      </c>
      <c r="B3" s="11" t="n">
        <v>790.54</v>
      </c>
      <c r="C3" s="11" t="n">
        <v>966.04</v>
      </c>
      <c r="D3" s="11" t="n">
        <v>1233.37</v>
      </c>
      <c r="E3" s="11" t="n">
        <v>3078.54</v>
      </c>
      <c r="F3" s="11" t="n">
        <v>2418.96</v>
      </c>
      <c r="G3" s="11" t="n">
        <v>399.74</v>
      </c>
      <c r="H3" s="11" t="n">
        <v>9440.15</v>
      </c>
      <c r="I3" s="12"/>
      <c r="J3" s="11" t="n">
        <v>1112.68</v>
      </c>
      <c r="K3" s="11" t="n">
        <v>1255</v>
      </c>
      <c r="L3" s="11" t="n">
        <v>19753.800781</v>
      </c>
    </row>
    <row r="4" customFormat="false" ht="15" hidden="false" customHeight="false" outlineLevel="0" collapsed="false">
      <c r="A4" s="10" t="n">
        <v>45169</v>
      </c>
      <c r="B4" s="11" t="n">
        <v>752.36</v>
      </c>
      <c r="C4" s="11" t="n">
        <v>935.4</v>
      </c>
      <c r="D4" s="11" t="n">
        <v>1305.93</v>
      </c>
      <c r="E4" s="11" t="n">
        <v>3216.3</v>
      </c>
      <c r="F4" s="11" t="n">
        <v>2366.3</v>
      </c>
      <c r="G4" s="11" t="n">
        <v>377.42</v>
      </c>
      <c r="H4" s="11" t="n">
        <v>9706.6</v>
      </c>
      <c r="I4" s="12"/>
      <c r="J4" s="11" t="n">
        <v>1081.73</v>
      </c>
      <c r="K4" s="11" t="n">
        <v>1189.16</v>
      </c>
      <c r="L4" s="11" t="n">
        <v>19253.800781</v>
      </c>
    </row>
    <row r="5" customFormat="false" ht="15" hidden="false" customHeight="false" outlineLevel="0" collapsed="false">
      <c r="A5" s="10" t="n">
        <v>45199</v>
      </c>
      <c r="B5" s="11" t="n">
        <v>730.74</v>
      </c>
      <c r="C5" s="11" t="n">
        <v>928.72</v>
      </c>
      <c r="D5" s="11" t="n">
        <v>1305.93</v>
      </c>
      <c r="E5" s="11" t="n">
        <v>3078.7</v>
      </c>
      <c r="F5" s="11" t="n">
        <v>2329.03</v>
      </c>
      <c r="G5" s="11" t="n">
        <v>381.45</v>
      </c>
      <c r="H5" s="11" t="n">
        <v>10295.37</v>
      </c>
      <c r="I5" s="12"/>
      <c r="J5" s="11" t="n">
        <v>1127.52</v>
      </c>
      <c r="K5" s="11" t="n">
        <v>1158.53</v>
      </c>
      <c r="L5" s="11" t="n">
        <v>19638.300781</v>
      </c>
    </row>
    <row r="6" customFormat="false" ht="15" hidden="false" customHeight="false" outlineLevel="0" collapsed="false">
      <c r="A6" s="10" t="n">
        <v>45230</v>
      </c>
      <c r="B6" s="11" t="n">
        <v>706.9</v>
      </c>
      <c r="C6" s="11" t="n">
        <v>893.06</v>
      </c>
      <c r="D6" s="11" t="n">
        <v>1261.04</v>
      </c>
      <c r="E6" s="13" t="n">
        <v>3078.87</v>
      </c>
      <c r="F6" s="11" t="n">
        <v>2346.41</v>
      </c>
      <c r="G6" s="11" t="n">
        <v>367.72</v>
      </c>
      <c r="H6" s="11" t="n">
        <v>10083.56</v>
      </c>
      <c r="I6" s="12"/>
      <c r="J6" s="11" t="n">
        <v>1059.35</v>
      </c>
      <c r="K6" s="11" t="n">
        <v>1130.32</v>
      </c>
      <c r="L6" s="11" t="n">
        <v>19079.599609</v>
      </c>
    </row>
    <row r="7" customFormat="false" ht="15" hidden="false" customHeight="false" outlineLevel="0" collapsed="false">
      <c r="A7" s="10" t="n">
        <v>45260</v>
      </c>
      <c r="B7" s="11" t="n">
        <v>746.3</v>
      </c>
      <c r="C7" s="11" t="n">
        <v>912.18</v>
      </c>
      <c r="D7" s="11" t="n">
        <v>1340.98</v>
      </c>
      <c r="E7" s="11" t="n">
        <v>3466.01</v>
      </c>
      <c r="F7" s="11" t="n">
        <v>2422.19</v>
      </c>
      <c r="G7" s="11" t="n">
        <v>374.07</v>
      </c>
      <c r="H7" s="11" t="n">
        <v>10293.53</v>
      </c>
      <c r="I7" s="12"/>
      <c r="J7" s="11" t="n">
        <v>1192.91</v>
      </c>
      <c r="K7" s="11" t="n">
        <v>1174.56</v>
      </c>
      <c r="L7" s="11" t="n">
        <v>20133.150391</v>
      </c>
    </row>
    <row r="8" customFormat="false" ht="15" hidden="false" customHeight="false" outlineLevel="0" collapsed="false">
      <c r="A8" s="10" t="n">
        <v>45291</v>
      </c>
      <c r="B8" s="11" t="n">
        <v>818.33</v>
      </c>
      <c r="C8" s="11" t="n">
        <v>972.33</v>
      </c>
      <c r="D8" s="11" t="n">
        <v>1421.85</v>
      </c>
      <c r="E8" s="11" t="n">
        <v>3793.9</v>
      </c>
      <c r="F8" s="11" t="n">
        <v>2534.85</v>
      </c>
      <c r="G8" s="11" t="n">
        <v>396.65</v>
      </c>
      <c r="H8" s="11" t="n">
        <v>9996.28</v>
      </c>
      <c r="I8" s="12"/>
      <c r="J8" s="11" t="n">
        <v>1225.61</v>
      </c>
      <c r="K8" s="11" t="n">
        <v>1277.07</v>
      </c>
      <c r="L8" s="11" t="n">
        <v>21731.400391</v>
      </c>
    </row>
    <row r="9" customFormat="false" ht="15" hidden="false" customHeight="false" outlineLevel="0" collapsed="false">
      <c r="A9" s="10" t="n">
        <v>45322</v>
      </c>
      <c r="B9" s="11" t="n">
        <v>700.22</v>
      </c>
      <c r="C9" s="11" t="n">
        <v>1003.11</v>
      </c>
      <c r="D9" s="11" t="n">
        <v>1530.59</v>
      </c>
      <c r="E9" s="13" t="n">
        <v>3918.87</v>
      </c>
      <c r="F9" s="11" t="n">
        <v>2361.29</v>
      </c>
      <c r="G9" s="11" t="n">
        <v>379.01</v>
      </c>
      <c r="H9" s="11" t="n">
        <v>9884.26</v>
      </c>
      <c r="I9" s="12"/>
      <c r="J9" s="11" t="n">
        <v>1380.34</v>
      </c>
      <c r="K9" s="11" t="n">
        <v>1409.63</v>
      </c>
      <c r="L9" s="11" t="n">
        <v>21725.699219</v>
      </c>
    </row>
    <row r="10" customFormat="false" ht="15" hidden="false" customHeight="false" outlineLevel="0" collapsed="false">
      <c r="A10" s="10" t="n">
        <v>45351</v>
      </c>
      <c r="B10" s="11" t="n">
        <v>671.9</v>
      </c>
      <c r="C10" s="11" t="n">
        <v>1026.58</v>
      </c>
      <c r="D10" s="11" t="n">
        <v>1542.57</v>
      </c>
      <c r="E10" s="11" t="n">
        <v>4008.72</v>
      </c>
      <c r="F10" s="11" t="n">
        <v>2295.4</v>
      </c>
      <c r="G10" s="11" t="n">
        <v>354.07</v>
      </c>
      <c r="H10" s="11" t="n">
        <v>10952.98</v>
      </c>
      <c r="I10" s="12"/>
      <c r="J10" s="11" t="n">
        <v>1544.3</v>
      </c>
      <c r="K10" s="11" t="n">
        <v>1443.39</v>
      </c>
      <c r="L10" s="11" t="n">
        <v>21982.800781</v>
      </c>
    </row>
    <row r="11" customFormat="false" ht="15" hidden="false" customHeight="false" outlineLevel="0" collapsed="false">
      <c r="A11" s="10" t="n">
        <v>45382</v>
      </c>
      <c r="B11" s="11" t="n">
        <v>693.21</v>
      </c>
      <c r="C11" s="11" t="n">
        <v>1066.68</v>
      </c>
      <c r="D11" s="11" t="n">
        <v>1380.52</v>
      </c>
      <c r="E11" s="11" t="n">
        <v>3806.35</v>
      </c>
      <c r="F11" s="11" t="n">
        <v>2154.81</v>
      </c>
      <c r="G11" s="11" t="n">
        <v>373.29</v>
      </c>
      <c r="H11" s="11" t="n">
        <v>12226.01</v>
      </c>
      <c r="I11" s="12"/>
      <c r="J11" s="11" t="n">
        <v>1586</v>
      </c>
      <c r="K11" s="11" t="n">
        <v>1468.15</v>
      </c>
      <c r="L11" s="11" t="n">
        <v>22326.900391</v>
      </c>
    </row>
    <row r="12" customFormat="false" ht="15" hidden="false" customHeight="false" outlineLevel="0" collapsed="false">
      <c r="A12" s="10" t="n">
        <v>45412</v>
      </c>
      <c r="B12" s="11" t="n">
        <v>727.77</v>
      </c>
      <c r="C12" s="11" t="n">
        <v>1122.39</v>
      </c>
      <c r="D12" s="11" t="n">
        <v>1309.1</v>
      </c>
      <c r="E12" s="11" t="n">
        <v>3839.11</v>
      </c>
      <c r="F12" s="11" t="n">
        <v>2122.36</v>
      </c>
      <c r="G12" s="11" t="n">
        <v>379.65</v>
      </c>
      <c r="H12" s="11" t="n">
        <v>12436.71</v>
      </c>
      <c r="I12" s="12"/>
      <c r="J12" s="11" t="n">
        <v>1470.07</v>
      </c>
      <c r="K12" s="11" t="n">
        <v>1449.52</v>
      </c>
      <c r="L12" s="11" t="n">
        <v>22604.849609</v>
      </c>
    </row>
    <row r="13" customFormat="false" ht="15" hidden="false" customHeight="false" outlineLevel="0" collapsed="false">
      <c r="A13" s="10" t="n">
        <v>45443</v>
      </c>
      <c r="B13" s="11" t="n">
        <v>743.27</v>
      </c>
      <c r="C13" s="11" t="n">
        <v>1093.75</v>
      </c>
      <c r="D13" s="11" t="n">
        <v>1322.46</v>
      </c>
      <c r="E13" s="11" t="n">
        <v>3670.36</v>
      </c>
      <c r="F13" s="11" t="n">
        <v>2216.18</v>
      </c>
      <c r="G13" s="11" t="n">
        <v>371.63</v>
      </c>
      <c r="H13" s="11" t="n">
        <v>12030.93</v>
      </c>
      <c r="I13" s="12"/>
      <c r="J13" s="11" t="n">
        <v>1428.67</v>
      </c>
      <c r="K13" s="11" t="n">
        <v>1413.36</v>
      </c>
      <c r="L13" s="11" t="n">
        <v>22530.699219</v>
      </c>
    </row>
    <row r="14" customFormat="false" ht="15" hidden="false" customHeight="false" outlineLevel="0" collapsed="false">
      <c r="A14" s="10" t="n">
        <v>45473</v>
      </c>
      <c r="B14" s="11" t="n">
        <v>817.16</v>
      </c>
      <c r="C14" s="11" t="n">
        <v>1170.39</v>
      </c>
      <c r="D14" s="11" t="n">
        <v>1472.72</v>
      </c>
      <c r="E14" s="11" t="n">
        <v>4078.19</v>
      </c>
      <c r="F14" s="11" t="n">
        <v>2376.13</v>
      </c>
      <c r="G14" s="11" t="n">
        <v>377.11</v>
      </c>
      <c r="H14" s="11" t="n">
        <v>11676.34</v>
      </c>
      <c r="I14" s="12"/>
      <c r="J14" s="11" t="n">
        <v>1488.42</v>
      </c>
      <c r="K14" s="11" t="n">
        <v>1546.75</v>
      </c>
      <c r="L14" s="11" t="n">
        <v>24010.599609</v>
      </c>
    </row>
    <row r="15" customFormat="false" ht="15" hidden="false" customHeight="false" outlineLevel="0" collapsed="false">
      <c r="A15" s="10" t="n">
        <v>45504</v>
      </c>
      <c r="B15" s="11" t="n">
        <v>784.13</v>
      </c>
      <c r="C15" s="11" t="n">
        <v>1185.31</v>
      </c>
      <c r="D15" s="11" t="n">
        <v>1756.12</v>
      </c>
      <c r="E15" s="11" t="n">
        <v>4343.35</v>
      </c>
      <c r="F15" s="11" t="n">
        <v>2599.81</v>
      </c>
      <c r="G15" s="11" t="n">
        <v>439.63</v>
      </c>
      <c r="H15" s="11" t="n">
        <v>12726.14</v>
      </c>
      <c r="I15" s="12"/>
      <c r="J15" s="11" t="n">
        <v>1688.02</v>
      </c>
      <c r="K15" s="11" t="n">
        <v>1487.49</v>
      </c>
      <c r="L15" s="11" t="n">
        <v>24951.150391</v>
      </c>
    </row>
    <row r="16" customFormat="false" ht="15" hidden="false" customHeight="false" outlineLevel="0" collapsed="false">
      <c r="A16" s="10" t="n">
        <v>45535</v>
      </c>
      <c r="B16" s="11" t="n">
        <v>794.4</v>
      </c>
      <c r="C16" s="11" t="n">
        <v>1209.59</v>
      </c>
      <c r="D16" s="11" t="n">
        <v>1827.04</v>
      </c>
      <c r="E16" s="11" t="n">
        <v>4321.66</v>
      </c>
      <c r="F16" s="11" t="n">
        <v>2669.13</v>
      </c>
      <c r="G16" s="11" t="n">
        <v>445.44</v>
      </c>
      <c r="H16" s="11" t="n">
        <v>12148.19</v>
      </c>
      <c r="I16" s="12"/>
      <c r="J16" s="11" t="n">
        <v>1788.46</v>
      </c>
      <c r="K16" s="11" t="n">
        <v>1496.7</v>
      </c>
      <c r="L16" s="11" t="n">
        <v>25235.900391</v>
      </c>
    </row>
    <row r="17" customFormat="false" ht="15" hidden="false" customHeight="false" outlineLevel="0" collapsed="false">
      <c r="A17" s="10" t="n">
        <v>45565</v>
      </c>
      <c r="B17" s="11" t="n">
        <v>840.57</v>
      </c>
      <c r="C17" s="11" t="n">
        <v>1252.69</v>
      </c>
      <c r="D17" s="11" t="n">
        <v>1763.03</v>
      </c>
      <c r="E17" s="11" t="n">
        <v>4594.94</v>
      </c>
      <c r="F17" s="11" t="n">
        <v>2842.38</v>
      </c>
      <c r="G17" s="11" t="n">
        <v>459.87</v>
      </c>
      <c r="H17" s="11" t="n">
        <v>12966.04</v>
      </c>
      <c r="I17" s="12"/>
      <c r="J17" s="11" t="n">
        <v>1891.6</v>
      </c>
      <c r="K17" s="11" t="n">
        <v>1463.93</v>
      </c>
      <c r="L17" s="11" t="n">
        <v>25810.849609</v>
      </c>
    </row>
    <row r="18" customFormat="false" ht="15" hidden="false" customHeight="false" outlineLevel="0" collapsed="false">
      <c r="A18" s="10" t="n">
        <v>45596</v>
      </c>
      <c r="B18" s="11" t="n">
        <v>842.34</v>
      </c>
      <c r="C18" s="11" t="n">
        <v>1271.63</v>
      </c>
      <c r="D18" s="11" t="n">
        <v>1670.59</v>
      </c>
      <c r="E18" s="13" t="n">
        <v>3995.85</v>
      </c>
      <c r="F18" s="11" t="n">
        <v>2429.16</v>
      </c>
      <c r="G18" s="11" t="n">
        <v>433.82</v>
      </c>
      <c r="H18" s="11" t="n">
        <v>10848.89</v>
      </c>
      <c r="I18" s="12"/>
      <c r="J18" s="11" t="n">
        <v>1815.21</v>
      </c>
      <c r="K18" s="11" t="n">
        <v>1320.65</v>
      </c>
      <c r="L18" s="11" t="n">
        <v>24205.349609</v>
      </c>
    </row>
    <row r="19" customFormat="false" ht="15" hidden="false" customHeight="false" outlineLevel="0" collapsed="false">
      <c r="A19" s="10" t="n">
        <v>45626</v>
      </c>
      <c r="B19" s="11" t="n">
        <v>871.63</v>
      </c>
      <c r="C19" s="11" t="n">
        <v>1279.36</v>
      </c>
      <c r="D19" s="11" t="n">
        <v>1766.23</v>
      </c>
      <c r="E19" s="13" t="n">
        <v>3893.28</v>
      </c>
      <c r="F19" s="11" t="n">
        <v>2426.23</v>
      </c>
      <c r="G19" s="11" t="n">
        <v>423.12</v>
      </c>
      <c r="H19" s="11" t="n">
        <v>10846.69</v>
      </c>
      <c r="I19" s="12"/>
      <c r="J19" s="11" t="n">
        <v>1748.45</v>
      </c>
      <c r="K19" s="11" t="n">
        <v>1281.14</v>
      </c>
      <c r="L19" s="11" t="n">
        <v>24131.099609</v>
      </c>
    </row>
    <row r="20" customFormat="false" ht="15" hidden="false" customHeight="false" outlineLevel="0" collapsed="false">
      <c r="A20" s="10" t="n">
        <v>45657</v>
      </c>
      <c r="B20" s="11" t="n">
        <v>860.37</v>
      </c>
      <c r="C20" s="11" t="n">
        <v>1261.2</v>
      </c>
      <c r="D20" s="11" t="n">
        <v>1787.29</v>
      </c>
      <c r="E20" s="11" t="n">
        <v>4059.16</v>
      </c>
      <c r="F20" s="11" t="n">
        <v>2261.67</v>
      </c>
      <c r="G20" s="11" t="n">
        <v>429.25</v>
      </c>
      <c r="H20" s="11" t="n">
        <v>10635.32</v>
      </c>
      <c r="I20" s="12"/>
      <c r="J20" s="11" t="n">
        <v>1851.98</v>
      </c>
      <c r="K20" s="11" t="n">
        <v>1205.04</v>
      </c>
      <c r="L20" s="11" t="n">
        <v>23644.800781</v>
      </c>
    </row>
    <row r="21" customFormat="false" ht="15" hidden="false" customHeight="false" outlineLevel="0" collapsed="false">
      <c r="A21" s="10" t="n">
        <v>45688</v>
      </c>
      <c r="B21" s="11" t="n">
        <v>824.41</v>
      </c>
      <c r="C21" s="11" t="n">
        <v>1232.81</v>
      </c>
      <c r="D21" s="11" t="n">
        <v>1787.1</v>
      </c>
      <c r="E21" s="13" t="n">
        <v>3482.9</v>
      </c>
      <c r="F21" s="11" t="n">
        <v>2399.64</v>
      </c>
      <c r="G21" s="11" t="n">
        <v>412.46</v>
      </c>
      <c r="H21" s="11" t="n">
        <v>12057.74</v>
      </c>
      <c r="I21" s="12"/>
      <c r="J21" s="11" t="n">
        <v>1712.18</v>
      </c>
      <c r="K21" s="11" t="n">
        <v>1254.27</v>
      </c>
      <c r="L21" s="11" t="n">
        <v>23508.400391</v>
      </c>
    </row>
    <row r="22" customFormat="false" ht="15" hidden="false" customHeight="false" outlineLevel="0" collapsed="false">
      <c r="A22" s="10" t="n">
        <v>45716</v>
      </c>
      <c r="B22" s="11" t="n">
        <v>840.74</v>
      </c>
      <c r="C22" s="11" t="n">
        <v>1184.89</v>
      </c>
      <c r="D22" s="11" t="n">
        <v>1604.47</v>
      </c>
      <c r="E22" s="11" t="n">
        <v>3463.25</v>
      </c>
      <c r="F22" s="11" t="n">
        <v>2128.9</v>
      </c>
      <c r="G22" s="11" t="n">
        <v>369.82</v>
      </c>
      <c r="H22" s="11" t="n">
        <v>11700.43</v>
      </c>
      <c r="I22" s="12"/>
      <c r="J22" s="11" t="n">
        <v>1573.65</v>
      </c>
      <c r="K22" s="11" t="n">
        <v>1189.82</v>
      </c>
      <c r="L22" s="11" t="n">
        <v>22124.699219</v>
      </c>
    </row>
    <row r="23" customFormat="false" ht="15" hidden="false" customHeight="false" outlineLevel="0" collapsed="false">
      <c r="A23" s="10" t="n">
        <v>45747</v>
      </c>
      <c r="B23" s="11" t="n">
        <v>887.23</v>
      </c>
      <c r="C23" s="11" t="n">
        <v>1326.84</v>
      </c>
      <c r="D23" s="11" t="n">
        <v>1493.19</v>
      </c>
      <c r="E23" s="11" t="n">
        <v>3606.65</v>
      </c>
      <c r="F23" s="11" t="n">
        <v>2195.58</v>
      </c>
      <c r="G23" s="11" t="n">
        <v>383.63</v>
      </c>
      <c r="H23" s="11" t="n">
        <v>11285.44</v>
      </c>
      <c r="I23" s="12"/>
      <c r="J23" s="11" t="n">
        <v>1713.36</v>
      </c>
      <c r="K23" s="11" t="n">
        <v>1264.18</v>
      </c>
      <c r="L23" s="11" t="n">
        <v>23519.349609</v>
      </c>
    </row>
    <row r="24" customFormat="false" ht="15" hidden="false" customHeight="false" outlineLevel="0" collapsed="false">
      <c r="A24" s="10" t="n">
        <v>45777</v>
      </c>
      <c r="B24" s="11" t="n">
        <v>934.21</v>
      </c>
      <c r="C24" s="11" t="n">
        <v>1404.24</v>
      </c>
      <c r="D24" s="11" t="n">
        <v>1426.12</v>
      </c>
      <c r="E24" s="11" t="n">
        <v>3257.11</v>
      </c>
      <c r="F24" s="11" t="n">
        <v>2278.49</v>
      </c>
      <c r="G24" s="11" t="n">
        <v>398.65</v>
      </c>
      <c r="H24" s="11" t="n">
        <v>12005.19</v>
      </c>
      <c r="I24" s="12"/>
      <c r="J24" s="11" t="n">
        <v>1809.76</v>
      </c>
      <c r="K24" s="11" t="n">
        <v>1392.97</v>
      </c>
      <c r="L24" s="11" t="n">
        <v>24334.199219</v>
      </c>
    </row>
    <row r="25" customFormat="false" ht="15" hidden="false" customHeight="false" outlineLevel="0" collapsed="false">
      <c r="A25" s="10" t="n">
        <v>45808</v>
      </c>
      <c r="B25" s="11" t="n">
        <v>943.87</v>
      </c>
      <c r="C25" s="11" t="n">
        <v>1422.74</v>
      </c>
      <c r="D25" s="11" t="n">
        <v>1508.54</v>
      </c>
      <c r="E25" s="11" t="n">
        <v>3391.27</v>
      </c>
      <c r="F25" s="11" t="n">
        <v>2282.62</v>
      </c>
      <c r="G25" s="11" t="n">
        <v>398.61</v>
      </c>
      <c r="H25" s="11" t="n">
        <v>12065.92</v>
      </c>
      <c r="I25" s="12"/>
      <c r="J25" s="11" t="n">
        <v>1656.96</v>
      </c>
      <c r="K25" s="11" t="n">
        <v>1408.73</v>
      </c>
      <c r="L25" s="11" t="n">
        <v>24750.699219</v>
      </c>
    </row>
    <row r="26" customFormat="false" ht="15" hidden="false" customHeight="false" outlineLevel="0" collapsed="false">
      <c r="A26" s="10" t="n">
        <v>45838</v>
      </c>
      <c r="B26" s="11" t="n">
        <v>982.02</v>
      </c>
      <c r="C26" s="11" t="n">
        <v>1422.74</v>
      </c>
      <c r="D26" s="11" t="n">
        <v>1544.23</v>
      </c>
      <c r="E26" s="13" t="n">
        <v>3462.9</v>
      </c>
      <c r="F26" s="11" t="n">
        <v>2253.78</v>
      </c>
      <c r="G26" s="11" t="n">
        <v>397.08</v>
      </c>
      <c r="H26" s="11" t="n">
        <v>12145.25</v>
      </c>
      <c r="I26" s="12"/>
      <c r="J26" s="11" t="n">
        <v>1655.09</v>
      </c>
      <c r="K26" s="11" t="n">
        <v>1487.75</v>
      </c>
      <c r="L26" s="11" t="n">
        <v>25517.050781</v>
      </c>
    </row>
    <row r="27" customFormat="false" ht="15" hidden="false" customHeight="false" outlineLevel="0" collapsed="false">
      <c r="A27" s="10" t="n">
        <v>45869</v>
      </c>
      <c r="B27" s="11" t="n">
        <v>992.68</v>
      </c>
      <c r="C27" s="11" t="n">
        <v>1457.77</v>
      </c>
      <c r="D27" s="11" t="n">
        <v>1454.77</v>
      </c>
      <c r="E27" s="11" t="n">
        <v>3036.75</v>
      </c>
      <c r="F27" s="11" t="n">
        <v>2476.35</v>
      </c>
      <c r="G27" s="11" t="n">
        <v>392.79</v>
      </c>
      <c r="H27" s="11" t="n">
        <v>12348.98</v>
      </c>
      <c r="I27" s="12"/>
      <c r="J27" s="11" t="n">
        <v>1691.25</v>
      </c>
      <c r="K27" s="11" t="n">
        <v>1378.3</v>
      </c>
      <c r="L27" s="11" t="n">
        <v>24768.349609</v>
      </c>
    </row>
    <row r="28" customFormat="false" ht="15" hidden="false" customHeight="false" outlineLevel="0" collapsed="false">
      <c r="A28" s="10" t="n">
        <v>45900</v>
      </c>
      <c r="B28" s="11" t="n">
        <v>936.12</v>
      </c>
      <c r="C28" s="11" t="n">
        <v>1386.11</v>
      </c>
      <c r="D28" s="11" t="n">
        <v>1416.78</v>
      </c>
      <c r="E28" s="13" t="n">
        <v>2916.65</v>
      </c>
      <c r="F28" s="11" t="n">
        <v>2812.48</v>
      </c>
      <c r="G28" s="11" t="n">
        <v>390.7</v>
      </c>
      <c r="H28" s="11" t="n">
        <v>14643.93</v>
      </c>
      <c r="I28" s="12"/>
      <c r="J28" s="11" t="n">
        <v>1580.07</v>
      </c>
      <c r="K28" s="11" t="n">
        <v>1350.95</v>
      </c>
      <c r="L28" s="11" t="n">
        <v>24426.849609</v>
      </c>
    </row>
    <row r="29" customFormat="false" ht="15" hidden="false" customHeight="false" outlineLevel="0" collapsed="false">
      <c r="A29" s="10" t="n">
        <v>45930</v>
      </c>
      <c r="B29" s="11" t="n">
        <v>935.53</v>
      </c>
      <c r="C29" s="11" t="n">
        <v>1336.73</v>
      </c>
      <c r="D29" s="11" t="n">
        <v>1389.98</v>
      </c>
      <c r="E29" s="13" t="n">
        <v>2984.7</v>
      </c>
      <c r="F29" s="11" t="n">
        <v>2469.67</v>
      </c>
      <c r="G29" s="11" t="n">
        <v>382.88</v>
      </c>
      <c r="H29" s="11" t="n">
        <v>15869.62</v>
      </c>
      <c r="I29" s="12"/>
      <c r="J29" s="11" t="n">
        <v>1579.87</v>
      </c>
      <c r="K29" s="11" t="n">
        <v>1357.72</v>
      </c>
      <c r="L29" s="11" t="n">
        <v>24611.099609</v>
      </c>
    </row>
    <row r="30" customFormat="false" ht="15" hidden="false" customHeight="false" outlineLevel="0" collapsed="false">
      <c r="A30" s="10" t="n">
        <v>45961</v>
      </c>
      <c r="B30" s="11" t="n">
        <v>971.24</v>
      </c>
      <c r="C30" s="11" t="n">
        <v>1334.05</v>
      </c>
      <c r="D30" s="11" t="n">
        <v>1450.9</v>
      </c>
      <c r="E30" s="13" t="n">
        <v>2946.29</v>
      </c>
      <c r="F30" s="11" t="n">
        <v>2421.64</v>
      </c>
      <c r="G30" s="11" t="n">
        <v>400.8</v>
      </c>
      <c r="H30" s="11" t="n">
        <v>16025.06</v>
      </c>
      <c r="I30" s="12"/>
      <c r="J30" s="11" t="n">
        <v>1675.4</v>
      </c>
      <c r="K30" s="11" t="n">
        <v>1479.56</v>
      </c>
      <c r="L30" s="11" t="n">
        <v>25722.099609</v>
      </c>
    </row>
    <row r="31" customFormat="false" ht="15" hidden="false" customHeight="false" outlineLevel="0" collapsed="false">
      <c r="A31" s="10" t="n">
        <v>45991</v>
      </c>
      <c r="B31" s="11" t="n">
        <v>991.21</v>
      </c>
      <c r="C31" s="11" t="n">
        <v>1377.19</v>
      </c>
      <c r="D31" s="11" t="n">
        <v>1527.06</v>
      </c>
      <c r="E31" s="13" t="n">
        <v>2772.13</v>
      </c>
      <c r="F31" s="11" t="n">
        <v>2441.76</v>
      </c>
      <c r="G31" s="11" t="n">
        <v>385.45</v>
      </c>
      <c r="H31" s="11" t="n">
        <v>15741.9</v>
      </c>
      <c r="I31" s="12"/>
      <c r="J31" s="11" t="n">
        <v>1815.02</v>
      </c>
      <c r="K31" s="11" t="n">
        <v>1560.29</v>
      </c>
      <c r="L31" s="11" t="n">
        <v>26202.949219</v>
      </c>
    </row>
    <row r="32" customFormat="false" ht="15" hidden="false" customHeight="false" outlineLevel="0" collapsed="false">
      <c r="A32" s="10" t="n">
        <v>46022</v>
      </c>
      <c r="B32" s="11" t="n">
        <v>975.07</v>
      </c>
      <c r="C32" s="11" t="n">
        <v>1331.67</v>
      </c>
      <c r="D32" s="11" t="n">
        <v>1581.18</v>
      </c>
      <c r="E32" s="13" t="n">
        <v>2984.61</v>
      </c>
      <c r="F32" s="11" t="n">
        <v>2292.58</v>
      </c>
      <c r="G32" s="11" t="n">
        <v>384.26</v>
      </c>
      <c r="H32" s="11" t="n">
        <v>16530.98</v>
      </c>
      <c r="I32" s="12"/>
      <c r="J32" s="11" t="n">
        <v>1704.14</v>
      </c>
      <c r="K32" s="11" t="n">
        <v>1563.17</v>
      </c>
      <c r="L32" s="11" t="n">
        <v>26129.599609</v>
      </c>
    </row>
    <row r="33" customFormat="false" ht="15" hidden="false" customHeight="false" outlineLevel="0" collapsed="false">
      <c r="A33" s="10" t="n">
        <v>46053</v>
      </c>
      <c r="B33" s="11" t="n">
        <v>914.13</v>
      </c>
      <c r="C33" s="11" t="n">
        <v>1343.67</v>
      </c>
      <c r="D33" s="11" t="n">
        <v>1606.24</v>
      </c>
      <c r="E33" s="13" t="n">
        <v>3065.06</v>
      </c>
      <c r="F33" s="11" t="n">
        <v>2349.11</v>
      </c>
      <c r="G33" s="11" t="n">
        <v>307.17</v>
      </c>
      <c r="H33" s="11" t="n">
        <v>14453.84</v>
      </c>
      <c r="I33" s="12"/>
      <c r="J33" s="11" t="n">
        <v>1580.86</v>
      </c>
      <c r="K33" s="11" t="n">
        <v>1388.98</v>
      </c>
      <c r="L33" s="11" t="n">
        <v>25320.650391</v>
      </c>
    </row>
    <row r="34" customFormat="false" ht="15" hidden="false" customHeight="false" outlineLevel="0" collapsed="false">
      <c r="A34" s="10" t="n">
        <v>46081</v>
      </c>
      <c r="B34" s="11" t="n">
        <v>873.31</v>
      </c>
      <c r="C34" s="11" t="n">
        <v>1367.37</v>
      </c>
      <c r="D34" s="11" t="n">
        <v>1272.56</v>
      </c>
      <c r="E34" s="13" t="n">
        <v>2587.93</v>
      </c>
      <c r="F34" s="11" t="n">
        <v>2314.56</v>
      </c>
      <c r="G34" s="11" t="n">
        <v>305.28</v>
      </c>
      <c r="H34" s="11" t="n">
        <v>14709.27</v>
      </c>
      <c r="I34" s="12"/>
      <c r="J34" s="11" t="n">
        <v>1732.46</v>
      </c>
      <c r="K34" s="11" t="n">
        <v>1387.48</v>
      </c>
      <c r="L34" s="11" t="n">
        <v>25178.650391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2" min="2" style="0" width="16"/>
  </cols>
  <sheetData>
    <row r="1" customFormat="false" ht="30" hidden="false" customHeight="true" outlineLevel="0" collapsed="false">
      <c r="A1" s="14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</row>
    <row r="2" customFormat="false" ht="15" hidden="false" customHeight="false" outlineLevel="0" collapsed="false">
      <c r="A2" s="10" t="n">
        <f aca="false">'Raw Prices'!A3</f>
        <v>45138</v>
      </c>
      <c r="B2" s="15" t="n">
        <f aca="false">IFERROR(('Raw Prices'!B3/'Raw Prices'!B2)-1,"")</f>
        <v>-0.029500227113692</v>
      </c>
      <c r="C2" s="15" t="n">
        <f aca="false">IFERROR(('Raw Prices'!C3/'Raw Prices'!C2)-1,"")</f>
        <v>0.068155683325962</v>
      </c>
      <c r="D2" s="15" t="n">
        <f aca="false">IFERROR(('Raw Prices'!D3/'Raw Prices'!D2)-1,"")</f>
        <v>0.0151276965242511</v>
      </c>
      <c r="E2" s="15" t="n">
        <f aca="false">IFERROR(('Raw Prices'!E3/'Raw Prices'!E2)-1,"")</f>
        <v>0.0254006954714416</v>
      </c>
      <c r="F2" s="15" t="n">
        <f aca="false">IFERROR(('Raw Prices'!F3/'Raw Prices'!F2)-1,"")</f>
        <v>-0.0438175198927983</v>
      </c>
      <c r="G2" s="15" t="n">
        <f aca="false">IFERROR(('Raw Prices'!G3/'Raw Prices'!G2)-1,"")</f>
        <v>0.0312411320073267</v>
      </c>
      <c r="H2" s="15" t="n">
        <f aca="false">IFERROR(('Raw Prices'!H3/'Raw Prices'!H2)-1,"")</f>
        <v>0.00323815475127742</v>
      </c>
      <c r="I2" s="15" t="str">
        <f aca="false">IFERROR(('Raw Prices'!I3/'Raw Prices'!I2)-1,"")</f>
        <v/>
      </c>
      <c r="J2" s="15" t="n">
        <f aca="false">IFERROR(('Raw Prices'!J3/'Raw Prices'!J2)-1,"")</f>
        <v>0.0911408790476005</v>
      </c>
      <c r="K2" s="15" t="n">
        <f aca="false">IFERROR(('Raw Prices'!K3/'Raw Prices'!K2)-1,"")</f>
        <v>0.0829982223296113</v>
      </c>
      <c r="L2" s="15" t="n">
        <f aca="false">IFERROR(('Raw Prices'!L3/'Raw Prices'!L2)-1,"")</f>
        <v>0.0294308460822452</v>
      </c>
    </row>
    <row r="3" customFormat="false" ht="15" hidden="false" customHeight="false" outlineLevel="0" collapsed="false">
      <c r="A3" s="10" t="n">
        <f aca="false">'Raw Prices'!A4</f>
        <v>45169</v>
      </c>
      <c r="B3" s="15" t="n">
        <f aca="false">IFERROR(('Raw Prices'!B4/'Raw Prices'!B3)-1,"")</f>
        <v>-0.0482961013990436</v>
      </c>
      <c r="C3" s="15" t="n">
        <f aca="false">IFERROR(('Raw Prices'!C4/'Raw Prices'!C3)-1,"")</f>
        <v>-0.0317171131630161</v>
      </c>
      <c r="D3" s="15" t="n">
        <f aca="false">IFERROR(('Raw Prices'!D4/'Raw Prices'!D3)-1,"")</f>
        <v>0.0588306834121148</v>
      </c>
      <c r="E3" s="15" t="n">
        <f aca="false">IFERROR(('Raw Prices'!E4/'Raw Prices'!E3)-1,"")</f>
        <v>0.0447484846713053</v>
      </c>
      <c r="F3" s="15" t="n">
        <f aca="false">IFERROR(('Raw Prices'!F4/'Raw Prices'!F3)-1,"")</f>
        <v>-0.0217696861461123</v>
      </c>
      <c r="G3" s="15" t="n">
        <f aca="false">IFERROR(('Raw Prices'!G4/'Raw Prices'!G3)-1,"")</f>
        <v>-0.055836293590834</v>
      </c>
      <c r="H3" s="15" t="n">
        <f aca="false">IFERROR(('Raw Prices'!H4/'Raw Prices'!H3)-1,"")</f>
        <v>0.0282251870997814</v>
      </c>
      <c r="I3" s="15" t="str">
        <f aca="false">IFERROR(('Raw Prices'!I4/'Raw Prices'!I3)-1,"")</f>
        <v/>
      </c>
      <c r="J3" s="15" t="n">
        <f aca="false">IFERROR(('Raw Prices'!J4/'Raw Prices'!J3)-1,"")</f>
        <v>-0.0278157241974333</v>
      </c>
      <c r="K3" s="15" t="n">
        <f aca="false">IFERROR(('Raw Prices'!K4/'Raw Prices'!K3)-1,"")</f>
        <v>-0.0524621513944222</v>
      </c>
      <c r="L3" s="15" t="n">
        <f aca="false">IFERROR(('Raw Prices'!L4/'Raw Prices'!L3)-1,"")</f>
        <v>-0.025311584618233</v>
      </c>
    </row>
    <row r="4" customFormat="false" ht="15" hidden="false" customHeight="false" outlineLevel="0" collapsed="false">
      <c r="A4" s="10" t="n">
        <f aca="false">'Raw Prices'!A5</f>
        <v>45199</v>
      </c>
      <c r="B4" s="15" t="n">
        <f aca="false">IFERROR(('Raw Prices'!B5/'Raw Prices'!B4)-1,"")</f>
        <v>-0.0287362432877878</v>
      </c>
      <c r="C4" s="15" t="n">
        <f aca="false">IFERROR(('Raw Prices'!C5/'Raw Prices'!C4)-1,"")</f>
        <v>-0.00714132991233696</v>
      </c>
      <c r="D4" s="15" t="n">
        <f aca="false">IFERROR(('Raw Prices'!D5/'Raw Prices'!D4)-1,"")</f>
        <v>0</v>
      </c>
      <c r="E4" s="15" t="n">
        <f aca="false">IFERROR(('Raw Prices'!E5/'Raw Prices'!E4)-1,"")</f>
        <v>-0.042782078786183</v>
      </c>
      <c r="F4" s="15" t="n">
        <f aca="false">IFERROR(('Raw Prices'!F5/'Raw Prices'!F4)-1,"")</f>
        <v>-0.0157503275155305</v>
      </c>
      <c r="G4" s="15" t="n">
        <f aca="false">IFERROR(('Raw Prices'!G5/'Raw Prices'!G4)-1,"")</f>
        <v>0.0106777595251972</v>
      </c>
      <c r="H4" s="15" t="n">
        <f aca="false">IFERROR(('Raw Prices'!H5/'Raw Prices'!H4)-1,"")</f>
        <v>0.0606566665979849</v>
      </c>
      <c r="I4" s="15" t="str">
        <f aca="false">IFERROR(('Raw Prices'!I5/'Raw Prices'!I4)-1,"")</f>
        <v/>
      </c>
      <c r="J4" s="15" t="n">
        <f aca="false">IFERROR(('Raw Prices'!J5/'Raw Prices'!J4)-1,"")</f>
        <v>0.042330341212687</v>
      </c>
      <c r="K4" s="15" t="n">
        <f aca="false">IFERROR(('Raw Prices'!K5/'Raw Prices'!K4)-1,"")</f>
        <v>-0.0257576776884525</v>
      </c>
      <c r="L4" s="15" t="n">
        <f aca="false">IFERROR(('Raw Prices'!L5/'Raw Prices'!L4)-1,"")</f>
        <v>0.0199700830175531</v>
      </c>
    </row>
    <row r="5" customFormat="false" ht="15" hidden="false" customHeight="false" outlineLevel="0" collapsed="false">
      <c r="A5" s="10" t="n">
        <f aca="false">'Raw Prices'!A6</f>
        <v>45230</v>
      </c>
      <c r="B5" s="15" t="n">
        <f aca="false">IFERROR(('Raw Prices'!B6/'Raw Prices'!B5)-1,"")</f>
        <v>-0.0326244628732518</v>
      </c>
      <c r="C5" s="15" t="n">
        <f aca="false">IFERROR(('Raw Prices'!C6/'Raw Prices'!C5)-1,"")</f>
        <v>-0.0383969334137309</v>
      </c>
      <c r="D5" s="15" t="n">
        <f aca="false">IFERROR(('Raw Prices'!D6/'Raw Prices'!D5)-1,"")</f>
        <v>-0.0343739710397955</v>
      </c>
      <c r="E5" s="15" t="n">
        <f aca="false">IFERROR(('Raw Prices'!E6/'Raw Prices'!E5)-1,"")</f>
        <v>5.52181115405226E-005</v>
      </c>
      <c r="F5" s="15" t="n">
        <f aca="false">IFERROR(('Raw Prices'!F6/'Raw Prices'!F5)-1,"")</f>
        <v>0.00746233410475594</v>
      </c>
      <c r="G5" s="15" t="n">
        <f aca="false">IFERROR(('Raw Prices'!G6/'Raw Prices'!G5)-1,"")</f>
        <v>-0.0359942325337527</v>
      </c>
      <c r="H5" s="15" t="n">
        <f aca="false">IFERROR(('Raw Prices'!H6/'Raw Prices'!H5)-1,"")</f>
        <v>-0.0205733256794075</v>
      </c>
      <c r="I5" s="15" t="str">
        <f aca="false">IFERROR(('Raw Prices'!I6/'Raw Prices'!I5)-1,"")</f>
        <v/>
      </c>
      <c r="J5" s="15" t="n">
        <f aca="false">IFERROR(('Raw Prices'!J6/'Raw Prices'!J5)-1,"")</f>
        <v>-0.0604601248758337</v>
      </c>
      <c r="K5" s="15" t="n">
        <f aca="false">IFERROR(('Raw Prices'!K6/'Raw Prices'!K5)-1,"")</f>
        <v>-0.0243498226200444</v>
      </c>
      <c r="L5" s="15" t="n">
        <f aca="false">IFERROR(('Raw Prices'!L6/'Raw Prices'!L5)-1,"")</f>
        <v>-0.0284495679249674</v>
      </c>
    </row>
    <row r="6" customFormat="false" ht="15" hidden="false" customHeight="false" outlineLevel="0" collapsed="false">
      <c r="A6" s="10" t="n">
        <f aca="false">'Raw Prices'!A7</f>
        <v>45260</v>
      </c>
      <c r="B6" s="15" t="n">
        <f aca="false">IFERROR(('Raw Prices'!B7/'Raw Prices'!B6)-1,"")</f>
        <v>0.0557363134813975</v>
      </c>
      <c r="C6" s="15" t="n">
        <f aca="false">IFERROR(('Raw Prices'!C7/'Raw Prices'!C6)-1,"")</f>
        <v>0.0214095357534769</v>
      </c>
      <c r="D6" s="15" t="n">
        <f aca="false">IFERROR(('Raw Prices'!D7/'Raw Prices'!D6)-1,"")</f>
        <v>0.0633921207891899</v>
      </c>
      <c r="E6" s="15" t="n">
        <f aca="false">IFERROR(('Raw Prices'!E7/'Raw Prices'!E6)-1,"")</f>
        <v>0.125740937421846</v>
      </c>
      <c r="F6" s="15" t="n">
        <f aca="false">IFERROR(('Raw Prices'!F7/'Raw Prices'!F6)-1,"")</f>
        <v>0.0322961460273354</v>
      </c>
      <c r="G6" s="15" t="n">
        <f aca="false">IFERROR(('Raw Prices'!G7/'Raw Prices'!G6)-1,"")</f>
        <v>0.0172685739149352</v>
      </c>
      <c r="H6" s="15" t="n">
        <f aca="false">IFERROR(('Raw Prices'!H7/'Raw Prices'!H6)-1,"")</f>
        <v>0.0208230029870404</v>
      </c>
      <c r="I6" s="15" t="str">
        <f aca="false">IFERROR(('Raw Prices'!I7/'Raw Prices'!I6)-1,"")</f>
        <v/>
      </c>
      <c r="J6" s="15" t="n">
        <f aca="false">IFERROR(('Raw Prices'!J7/'Raw Prices'!J6)-1,"")</f>
        <v>0.126077311558975</v>
      </c>
      <c r="K6" s="15" t="n">
        <f aca="false">IFERROR(('Raw Prices'!K7/'Raw Prices'!K6)-1,"")</f>
        <v>0.0391393587656592</v>
      </c>
      <c r="L6" s="15" t="n">
        <f aca="false">IFERROR(('Raw Prices'!L7/'Raw Prices'!L6)-1,"")</f>
        <v>0.0552187049828357</v>
      </c>
    </row>
    <row r="7" customFormat="false" ht="15" hidden="false" customHeight="false" outlineLevel="0" collapsed="false">
      <c r="A7" s="10" t="n">
        <f aca="false">'Raw Prices'!A8</f>
        <v>45291</v>
      </c>
      <c r="B7" s="15" t="n">
        <f aca="false">IFERROR(('Raw Prices'!B8/'Raw Prices'!B7)-1,"")</f>
        <v>0.0965161463218547</v>
      </c>
      <c r="C7" s="15" t="n">
        <f aca="false">IFERROR(('Raw Prices'!C8/'Raw Prices'!C7)-1,"")</f>
        <v>0.0659409327106493</v>
      </c>
      <c r="D7" s="15" t="n">
        <f aca="false">IFERROR(('Raw Prices'!D8/'Raw Prices'!D7)-1,"")</f>
        <v>0.060306641411505</v>
      </c>
      <c r="E7" s="15" t="n">
        <f aca="false">IFERROR(('Raw Prices'!E8/'Raw Prices'!E7)-1,"")</f>
        <v>0.0946015735673007</v>
      </c>
      <c r="F7" s="15" t="n">
        <f aca="false">IFERROR(('Raw Prices'!F8/'Raw Prices'!F7)-1,"")</f>
        <v>0.0465116279069766</v>
      </c>
      <c r="G7" s="15" t="n">
        <f aca="false">IFERROR(('Raw Prices'!G8/'Raw Prices'!G7)-1,"")</f>
        <v>0.0603630336568022</v>
      </c>
      <c r="H7" s="15" t="n">
        <f aca="false">IFERROR(('Raw Prices'!H8/'Raw Prices'!H7)-1,"")</f>
        <v>-0.0288773627705947</v>
      </c>
      <c r="I7" s="15" t="str">
        <f aca="false">IFERROR(('Raw Prices'!I8/'Raw Prices'!I7)-1,"")</f>
        <v/>
      </c>
      <c r="J7" s="15" t="n">
        <f aca="false">IFERROR(('Raw Prices'!J8/'Raw Prices'!J7)-1,"")</f>
        <v>0.0274119589910387</v>
      </c>
      <c r="K7" s="15" t="n">
        <f aca="false">IFERROR(('Raw Prices'!K8/'Raw Prices'!K7)-1,"")</f>
        <v>0.0872752349816102</v>
      </c>
      <c r="L7" s="15" t="n">
        <f aca="false">IFERROR(('Raw Prices'!L8/'Raw Prices'!L7)-1,"")</f>
        <v>0.0793839994715608</v>
      </c>
    </row>
    <row r="8" customFormat="false" ht="15" hidden="false" customHeight="false" outlineLevel="0" collapsed="false">
      <c r="A8" s="10" t="n">
        <f aca="false">'Raw Prices'!A9</f>
        <v>45322</v>
      </c>
      <c r="B8" s="15" t="n">
        <f aca="false">IFERROR(('Raw Prices'!B9/'Raw Prices'!B8)-1,"")</f>
        <v>-0.14433052680459</v>
      </c>
      <c r="C8" s="15" t="n">
        <f aca="false">IFERROR(('Raw Prices'!C9/'Raw Prices'!C8)-1,"")</f>
        <v>0.0316559192866619</v>
      </c>
      <c r="D8" s="15" t="n">
        <f aca="false">IFERROR(('Raw Prices'!D9/'Raw Prices'!D8)-1,"")</f>
        <v>0.0764778281815943</v>
      </c>
      <c r="E8" s="15" t="n">
        <f aca="false">IFERROR(('Raw Prices'!E9/'Raw Prices'!E8)-1,"")</f>
        <v>0.0329397190226415</v>
      </c>
      <c r="F8" s="15" t="n">
        <f aca="false">IFERROR(('Raw Prices'!F9/'Raw Prices'!F8)-1,"")</f>
        <v>-0.0684695346864706</v>
      </c>
      <c r="G8" s="15" t="n">
        <f aca="false">IFERROR(('Raw Prices'!G9/'Raw Prices'!G8)-1,"")</f>
        <v>-0.0444724568259171</v>
      </c>
      <c r="H8" s="15" t="n">
        <f aca="false">IFERROR(('Raw Prices'!H9/'Raw Prices'!H8)-1,"")</f>
        <v>-0.0112061686947544</v>
      </c>
      <c r="I8" s="15" t="str">
        <f aca="false">IFERROR(('Raw Prices'!I9/'Raw Prices'!I8)-1,"")</f>
        <v/>
      </c>
      <c r="J8" s="15" t="n">
        <f aca="false">IFERROR(('Raw Prices'!J9/'Raw Prices'!J8)-1,"")</f>
        <v>0.126247338060231</v>
      </c>
      <c r="K8" s="15" t="n">
        <f aca="false">IFERROR(('Raw Prices'!K9/'Raw Prices'!K8)-1,"")</f>
        <v>0.103800104927686</v>
      </c>
      <c r="L8" s="15" t="n">
        <f aca="false">IFERROR(('Raw Prices'!L9/'Raw Prices'!L8)-1,"")</f>
        <v>-0.000262347197945045</v>
      </c>
    </row>
    <row r="9" customFormat="false" ht="15" hidden="false" customHeight="false" outlineLevel="0" collapsed="false">
      <c r="A9" s="10" t="n">
        <f aca="false">'Raw Prices'!A10</f>
        <v>45351</v>
      </c>
      <c r="B9" s="15" t="n">
        <f aca="false">IFERROR(('Raw Prices'!B10/'Raw Prices'!B9)-1,"")</f>
        <v>-0.0404444317500214</v>
      </c>
      <c r="C9" s="15" t="n">
        <f aca="false">IFERROR(('Raw Prices'!C10/'Raw Prices'!C9)-1,"")</f>
        <v>0.0233972346003928</v>
      </c>
      <c r="D9" s="15" t="n">
        <f aca="false">IFERROR(('Raw Prices'!D10/'Raw Prices'!D9)-1,"")</f>
        <v>0.00782704708641768</v>
      </c>
      <c r="E9" s="15" t="n">
        <f aca="false">IFERROR(('Raw Prices'!E10/'Raw Prices'!E9)-1,"")</f>
        <v>0.0229275275781029</v>
      </c>
      <c r="F9" s="15" t="n">
        <f aca="false">IFERROR(('Raw Prices'!F10/'Raw Prices'!F9)-1,"")</f>
        <v>-0.027904238784732</v>
      </c>
      <c r="G9" s="15" t="n">
        <f aca="false">IFERROR(('Raw Prices'!G10/'Raw Prices'!G9)-1,"")</f>
        <v>-0.0658030131131104</v>
      </c>
      <c r="H9" s="15" t="n">
        <f aca="false">IFERROR(('Raw Prices'!H10/'Raw Prices'!H9)-1,"")</f>
        <v>0.108123420468502</v>
      </c>
      <c r="I9" s="15" t="str">
        <f aca="false">IFERROR(('Raw Prices'!I10/'Raw Prices'!I9)-1,"")</f>
        <v/>
      </c>
      <c r="J9" s="15" t="n">
        <f aca="false">IFERROR(('Raw Prices'!J10/'Raw Prices'!J9)-1,"")</f>
        <v>0.118782328991408</v>
      </c>
      <c r="K9" s="15" t="n">
        <f aca="false">IFERROR(('Raw Prices'!K10/'Raw Prices'!K9)-1,"")</f>
        <v>0.0239495470442599</v>
      </c>
      <c r="L9" s="15" t="n">
        <f aca="false">IFERROR(('Raw Prices'!L10/'Raw Prices'!L9)-1,"")</f>
        <v>0.011833983312038</v>
      </c>
    </row>
    <row r="10" customFormat="false" ht="15" hidden="false" customHeight="false" outlineLevel="0" collapsed="false">
      <c r="A10" s="10" t="n">
        <f aca="false">'Raw Prices'!A11</f>
        <v>45382</v>
      </c>
      <c r="B10" s="15" t="n">
        <f aca="false">IFERROR(('Raw Prices'!B11/'Raw Prices'!B10)-1,"")</f>
        <v>0.0317160291710077</v>
      </c>
      <c r="C10" s="15" t="n">
        <f aca="false">IFERROR(('Raw Prices'!C11/'Raw Prices'!C10)-1,"")</f>
        <v>0.0390617389779657</v>
      </c>
      <c r="D10" s="15" t="n">
        <f aca="false">IFERROR(('Raw Prices'!D11/'Raw Prices'!D10)-1,"")</f>
        <v>-0.105051958744174</v>
      </c>
      <c r="E10" s="15" t="n">
        <f aca="false">IFERROR(('Raw Prices'!E11/'Raw Prices'!E10)-1,"")</f>
        <v>-0.0504824482627871</v>
      </c>
      <c r="F10" s="15" t="n">
        <f aca="false">IFERROR(('Raw Prices'!F11/'Raw Prices'!F10)-1,"")</f>
        <v>-0.0612485841247713</v>
      </c>
      <c r="G10" s="15" t="n">
        <f aca="false">IFERROR(('Raw Prices'!G11/'Raw Prices'!G10)-1,"")</f>
        <v>0.0542830513740222</v>
      </c>
      <c r="H10" s="15" t="n">
        <f aca="false">IFERROR(('Raw Prices'!H11/'Raw Prices'!H10)-1,"")</f>
        <v>0.116226816811498</v>
      </c>
      <c r="I10" s="15" t="str">
        <f aca="false">IFERROR(('Raw Prices'!I11/'Raw Prices'!I10)-1,"")</f>
        <v/>
      </c>
      <c r="J10" s="15" t="n">
        <f aca="false">IFERROR(('Raw Prices'!J11/'Raw Prices'!J10)-1,"")</f>
        <v>0.0270025254160462</v>
      </c>
      <c r="K10" s="15" t="n">
        <f aca="false">IFERROR(('Raw Prices'!K11/'Raw Prices'!K10)-1,"")</f>
        <v>0.0171540609260143</v>
      </c>
      <c r="L10" s="15" t="n">
        <f aca="false">IFERROR(('Raw Prices'!L11/'Raw Prices'!L10)-1,"")</f>
        <v>0.0156531287085768</v>
      </c>
    </row>
    <row r="11" customFormat="false" ht="15" hidden="false" customHeight="false" outlineLevel="0" collapsed="false">
      <c r="A11" s="10" t="n">
        <f aca="false">'Raw Prices'!A12</f>
        <v>45412</v>
      </c>
      <c r="B11" s="15" t="n">
        <f aca="false">IFERROR(('Raw Prices'!B12/'Raw Prices'!B11)-1,"")</f>
        <v>0.0498550222876184</v>
      </c>
      <c r="C11" s="15" t="n">
        <f aca="false">IFERROR(('Raw Prices'!C12/'Raw Prices'!C11)-1,"")</f>
        <v>0.0522274721565981</v>
      </c>
      <c r="D11" s="15" t="n">
        <f aca="false">IFERROR(('Raw Prices'!D12/'Raw Prices'!D11)-1,"")</f>
        <v>-0.0517341291687191</v>
      </c>
      <c r="E11" s="15" t="n">
        <f aca="false">IFERROR(('Raw Prices'!E12/'Raw Prices'!E11)-1,"")</f>
        <v>0.00860667043230401</v>
      </c>
      <c r="F11" s="15" t="n">
        <f aca="false">IFERROR(('Raw Prices'!F12/'Raw Prices'!F11)-1,"")</f>
        <v>-0.0150593323773325</v>
      </c>
      <c r="G11" s="15" t="n">
        <f aca="false">IFERROR(('Raw Prices'!G12/'Raw Prices'!G11)-1,"")</f>
        <v>0.0170376918749497</v>
      </c>
      <c r="H11" s="15" t="n">
        <f aca="false">IFERROR(('Raw Prices'!H12/'Raw Prices'!H11)-1,"")</f>
        <v>0.0172337500132913</v>
      </c>
      <c r="I11" s="15" t="str">
        <f aca="false">IFERROR(('Raw Prices'!I12/'Raw Prices'!I11)-1,"")</f>
        <v/>
      </c>
      <c r="J11" s="15" t="n">
        <f aca="false">IFERROR(('Raw Prices'!J12/'Raw Prices'!J11)-1,"")</f>
        <v>-0.0730958385876419</v>
      </c>
      <c r="K11" s="15" t="n">
        <f aca="false">IFERROR(('Raw Prices'!K12/'Raw Prices'!K11)-1,"")</f>
        <v>-0.0126894390900113</v>
      </c>
      <c r="L11" s="15" t="n">
        <f aca="false">IFERROR(('Raw Prices'!L12/'Raw Prices'!L11)-1,"")</f>
        <v>0.0124490732315017</v>
      </c>
    </row>
    <row r="12" customFormat="false" ht="15" hidden="false" customHeight="false" outlineLevel="0" collapsed="false">
      <c r="A12" s="10" t="n">
        <f aca="false">'Raw Prices'!A13</f>
        <v>45443</v>
      </c>
      <c r="B12" s="15" t="n">
        <f aca="false">IFERROR(('Raw Prices'!B13/'Raw Prices'!B12)-1,"")</f>
        <v>0.0212979375352103</v>
      </c>
      <c r="C12" s="15" t="n">
        <f aca="false">IFERROR(('Raw Prices'!C13/'Raw Prices'!C12)-1,"")</f>
        <v>-0.0255169771648002</v>
      </c>
      <c r="D12" s="15" t="n">
        <f aca="false">IFERROR(('Raw Prices'!D13/'Raw Prices'!D12)-1,"")</f>
        <v>0.0102054846841342</v>
      </c>
      <c r="E12" s="15" t="n">
        <f aca="false">IFERROR(('Raw Prices'!E13/'Raw Prices'!E12)-1,"")</f>
        <v>-0.0439555001028884</v>
      </c>
      <c r="F12" s="15" t="n">
        <f aca="false">IFERROR(('Raw Prices'!F13/'Raw Prices'!F12)-1,"")</f>
        <v>0.0442055070770273</v>
      </c>
      <c r="G12" s="15" t="n">
        <f aca="false">IFERROR(('Raw Prices'!G13/'Raw Prices'!G12)-1,"")</f>
        <v>-0.0211247201369682</v>
      </c>
      <c r="H12" s="15" t="n">
        <f aca="false">IFERROR(('Raw Prices'!H13/'Raw Prices'!H12)-1,"")</f>
        <v>-0.0326276000646473</v>
      </c>
      <c r="I12" s="15" t="str">
        <f aca="false">IFERROR(('Raw Prices'!I13/'Raw Prices'!I12)-1,"")</f>
        <v/>
      </c>
      <c r="J12" s="15" t="n">
        <f aca="false">IFERROR(('Raw Prices'!J13/'Raw Prices'!J12)-1,"")</f>
        <v>-0.0281619242621098</v>
      </c>
      <c r="K12" s="15" t="n">
        <f aca="false">IFERROR(('Raw Prices'!K13/'Raw Prices'!K12)-1,"")</f>
        <v>-0.0249461890832828</v>
      </c>
      <c r="L12" s="15" t="n">
        <f aca="false">IFERROR(('Raw Prices'!L13/'Raw Prices'!L12)-1,"")</f>
        <v>-0.00328028680936143</v>
      </c>
    </row>
    <row r="13" customFormat="false" ht="15" hidden="false" customHeight="false" outlineLevel="0" collapsed="false">
      <c r="A13" s="10" t="n">
        <f aca="false">'Raw Prices'!A14</f>
        <v>45473</v>
      </c>
      <c r="B13" s="15" t="n">
        <f aca="false">IFERROR(('Raw Prices'!B14/'Raw Prices'!B13)-1,"")</f>
        <v>0.0994120575295654</v>
      </c>
      <c r="C13" s="15" t="n">
        <f aca="false">IFERROR(('Raw Prices'!C14/'Raw Prices'!C13)-1,"")</f>
        <v>0.0700708571428572</v>
      </c>
      <c r="D13" s="15" t="n">
        <f aca="false">IFERROR(('Raw Prices'!D14/'Raw Prices'!D13)-1,"")</f>
        <v>0.113621584017664</v>
      </c>
      <c r="E13" s="15" t="n">
        <f aca="false">IFERROR(('Raw Prices'!E14/'Raw Prices'!E13)-1,"")</f>
        <v>0.111114441090247</v>
      </c>
      <c r="F13" s="15" t="n">
        <f aca="false">IFERROR(('Raw Prices'!F14/'Raw Prices'!F13)-1,"")</f>
        <v>0.0721737404001481</v>
      </c>
      <c r="G13" s="15" t="n">
        <f aca="false">IFERROR(('Raw Prices'!G14/'Raw Prices'!G13)-1,"")</f>
        <v>0.0147458493663053</v>
      </c>
      <c r="H13" s="15" t="n">
        <f aca="false">IFERROR(('Raw Prices'!H14/'Raw Prices'!H13)-1,"")</f>
        <v>-0.0294731994949684</v>
      </c>
      <c r="I13" s="15" t="str">
        <f aca="false">IFERROR(('Raw Prices'!I14/'Raw Prices'!I13)-1,"")</f>
        <v/>
      </c>
      <c r="J13" s="15" t="n">
        <f aca="false">IFERROR(('Raw Prices'!J14/'Raw Prices'!J13)-1,"")</f>
        <v>0.0418221142741151</v>
      </c>
      <c r="K13" s="15" t="n">
        <f aca="false">IFERROR(('Raw Prices'!K14/'Raw Prices'!K13)-1,"")</f>
        <v>0.0943779362653536</v>
      </c>
      <c r="L13" s="15" t="n">
        <f aca="false">IFERROR(('Raw Prices'!L14/'Raw Prices'!L13)-1,"")</f>
        <v>0.0656837311445715</v>
      </c>
    </row>
    <row r="14" customFormat="false" ht="15" hidden="false" customHeight="false" outlineLevel="0" collapsed="false">
      <c r="A14" s="10" t="n">
        <f aca="false">'Raw Prices'!A15</f>
        <v>45504</v>
      </c>
      <c r="B14" s="15" t="n">
        <f aca="false">IFERROR(('Raw Prices'!B15/'Raw Prices'!B14)-1,"")</f>
        <v>-0.0404204806892163</v>
      </c>
      <c r="C14" s="15" t="n">
        <f aca="false">IFERROR(('Raw Prices'!C15/'Raw Prices'!C14)-1,"")</f>
        <v>0.0127478874563178</v>
      </c>
      <c r="D14" s="15" t="n">
        <f aca="false">IFERROR(('Raw Prices'!D15/'Raw Prices'!D14)-1,"")</f>
        <v>0.192433049052094</v>
      </c>
      <c r="E14" s="15" t="n">
        <f aca="false">IFERROR(('Raw Prices'!E15/'Raw Prices'!E14)-1,"")</f>
        <v>0.0650190403095492</v>
      </c>
      <c r="F14" s="15" t="n">
        <f aca="false">IFERROR(('Raw Prices'!F15/'Raw Prices'!F14)-1,"")</f>
        <v>0.0941362635882717</v>
      </c>
      <c r="G14" s="15" t="n">
        <f aca="false">IFERROR(('Raw Prices'!G15/'Raw Prices'!G14)-1,"")</f>
        <v>0.165787170852006</v>
      </c>
      <c r="H14" s="15" t="n">
        <f aca="false">IFERROR(('Raw Prices'!H15/'Raw Prices'!H14)-1,"")</f>
        <v>0.0899083103095661</v>
      </c>
      <c r="I14" s="15" t="str">
        <f aca="false">IFERROR(('Raw Prices'!I15/'Raw Prices'!I14)-1,"")</f>
        <v/>
      </c>
      <c r="J14" s="15" t="n">
        <f aca="false">IFERROR(('Raw Prices'!J15/'Raw Prices'!J14)-1,"")</f>
        <v>0.134101933594012</v>
      </c>
      <c r="K14" s="15" t="n">
        <f aca="false">IFERROR(('Raw Prices'!K15/'Raw Prices'!K14)-1,"")</f>
        <v>-0.0383125909164377</v>
      </c>
      <c r="L14" s="15" t="n">
        <f aca="false">IFERROR(('Raw Prices'!L15/'Raw Prices'!L14)-1,"")</f>
        <v>0.039172315448859</v>
      </c>
    </row>
    <row r="15" customFormat="false" ht="15" hidden="false" customHeight="false" outlineLevel="0" collapsed="false">
      <c r="A15" s="10" t="n">
        <f aca="false">'Raw Prices'!A16</f>
        <v>45535</v>
      </c>
      <c r="B15" s="15" t="n">
        <f aca="false">IFERROR(('Raw Prices'!B16/'Raw Prices'!B15)-1,"")</f>
        <v>0.0130973180467524</v>
      </c>
      <c r="C15" s="15" t="n">
        <f aca="false">IFERROR(('Raw Prices'!C16/'Raw Prices'!C15)-1,"")</f>
        <v>0.0204840927689802</v>
      </c>
      <c r="D15" s="15" t="n">
        <f aca="false">IFERROR(('Raw Prices'!D16/'Raw Prices'!D15)-1,"")</f>
        <v>0.0403844839760381</v>
      </c>
      <c r="E15" s="15" t="n">
        <f aca="false">IFERROR(('Raw Prices'!E16/'Raw Prices'!E15)-1,"")</f>
        <v>-0.00499384115947377</v>
      </c>
      <c r="F15" s="15" t="n">
        <f aca="false">IFERROR(('Raw Prices'!F16/'Raw Prices'!F15)-1,"")</f>
        <v>0.0266634869471232</v>
      </c>
      <c r="G15" s="15" t="n">
        <f aca="false">IFERROR(('Raw Prices'!G16/'Raw Prices'!G15)-1,"")</f>
        <v>0.0132156586220231</v>
      </c>
      <c r="H15" s="15" t="n">
        <f aca="false">IFERROR(('Raw Prices'!H16/'Raw Prices'!H15)-1,"")</f>
        <v>-0.0454143990243703</v>
      </c>
      <c r="I15" s="15" t="str">
        <f aca="false">IFERROR(('Raw Prices'!I16/'Raw Prices'!I15)-1,"")</f>
        <v/>
      </c>
      <c r="J15" s="15" t="n">
        <f aca="false">IFERROR(('Raw Prices'!J16/'Raw Prices'!J15)-1,"")</f>
        <v>0.0595016646722195</v>
      </c>
      <c r="K15" s="15" t="n">
        <f aca="false">IFERROR(('Raw Prices'!K16/'Raw Prices'!K15)-1,"")</f>
        <v>0.00619163826311442</v>
      </c>
      <c r="L15" s="15" t="n">
        <f aca="false">IFERROR(('Raw Prices'!L16/'Raw Prices'!L15)-1,"")</f>
        <v>0.0114122994546459</v>
      </c>
    </row>
    <row r="16" customFormat="false" ht="15" hidden="false" customHeight="false" outlineLevel="0" collapsed="false">
      <c r="A16" s="10" t="n">
        <f aca="false">'Raw Prices'!A17</f>
        <v>45565</v>
      </c>
      <c r="B16" s="15" t="n">
        <f aca="false">IFERROR(('Raw Prices'!B17/'Raw Prices'!B16)-1,"")</f>
        <v>0.0581193353474321</v>
      </c>
      <c r="C16" s="15" t="n">
        <f aca="false">IFERROR(('Raw Prices'!C17/'Raw Prices'!C16)-1,"")</f>
        <v>0.0356319083325756</v>
      </c>
      <c r="D16" s="15" t="n">
        <f aca="false">IFERROR(('Raw Prices'!D17/'Raw Prices'!D16)-1,"")</f>
        <v>-0.0350348104037131</v>
      </c>
      <c r="E16" s="15" t="n">
        <f aca="false">IFERROR(('Raw Prices'!E17/'Raw Prices'!E16)-1,"")</f>
        <v>0.0632349606401244</v>
      </c>
      <c r="F16" s="15" t="n">
        <f aca="false">IFERROR(('Raw Prices'!F17/'Raw Prices'!F16)-1,"")</f>
        <v>0.0649087905047712</v>
      </c>
      <c r="G16" s="15" t="n">
        <f aca="false">IFERROR(('Raw Prices'!G17/'Raw Prices'!G16)-1,"")</f>
        <v>0.0323949353448276</v>
      </c>
      <c r="H16" s="15" t="n">
        <f aca="false">IFERROR(('Raw Prices'!H17/'Raw Prices'!H16)-1,"")</f>
        <v>0.0673227863574739</v>
      </c>
      <c r="I16" s="15" t="str">
        <f aca="false">IFERROR(('Raw Prices'!I17/'Raw Prices'!I16)-1,"")</f>
        <v/>
      </c>
      <c r="J16" s="15" t="n">
        <f aca="false">IFERROR(('Raw Prices'!J17/'Raw Prices'!J16)-1,"")</f>
        <v>0.057669727027722</v>
      </c>
      <c r="K16" s="15" t="n">
        <f aca="false">IFERROR(('Raw Prices'!K17/'Raw Prices'!K16)-1,"")</f>
        <v>-0.0218948353043362</v>
      </c>
      <c r="L16" s="15" t="n">
        <f aca="false">IFERROR(('Raw Prices'!L17/'Raw Prices'!L16)-1,"")</f>
        <v>0.022782988088075</v>
      </c>
    </row>
    <row r="17" customFormat="false" ht="15" hidden="false" customHeight="false" outlineLevel="0" collapsed="false">
      <c r="A17" s="10" t="n">
        <f aca="false">'Raw Prices'!A18</f>
        <v>45596</v>
      </c>
      <c r="B17" s="15" t="n">
        <f aca="false">IFERROR(('Raw Prices'!B18/'Raw Prices'!B17)-1,"")</f>
        <v>0.00210571397979931</v>
      </c>
      <c r="C17" s="15" t="n">
        <f aca="false">IFERROR(('Raw Prices'!C18/'Raw Prices'!C17)-1,"")</f>
        <v>0.0151194629158051</v>
      </c>
      <c r="D17" s="15" t="n">
        <f aca="false">IFERROR(('Raw Prices'!D18/'Raw Prices'!D17)-1,"")</f>
        <v>-0.0524324600262049</v>
      </c>
      <c r="E17" s="15" t="n">
        <f aca="false">IFERROR(('Raw Prices'!E18/'Raw Prices'!E17)-1,"")</f>
        <v>-0.130380374934167</v>
      </c>
      <c r="F17" s="15" t="n">
        <f aca="false">IFERROR(('Raw Prices'!F18/'Raw Prices'!F17)-1,"")</f>
        <v>-0.145378168999219</v>
      </c>
      <c r="G17" s="15" t="n">
        <f aca="false">IFERROR(('Raw Prices'!G18/'Raw Prices'!G17)-1,"")</f>
        <v>-0.0566464435601366</v>
      </c>
      <c r="H17" s="15" t="n">
        <f aca="false">IFERROR(('Raw Prices'!H18/'Raw Prices'!H17)-1,"")</f>
        <v>-0.163284240986454</v>
      </c>
      <c r="I17" s="15" t="str">
        <f aca="false">IFERROR(('Raw Prices'!I18/'Raw Prices'!I17)-1,"")</f>
        <v/>
      </c>
      <c r="J17" s="15" t="n">
        <f aca="false">IFERROR(('Raw Prices'!J18/'Raw Prices'!J17)-1,"")</f>
        <v>-0.0403838020723196</v>
      </c>
      <c r="K17" s="15" t="n">
        <f aca="false">IFERROR(('Raw Prices'!K18/'Raw Prices'!K17)-1,"")</f>
        <v>-0.0978735322044086</v>
      </c>
      <c r="L17" s="15" t="n">
        <f aca="false">IFERROR(('Raw Prices'!L18/'Raw Prices'!L17)-1,"")</f>
        <v>-0.0622025242997106</v>
      </c>
    </row>
    <row r="18" customFormat="false" ht="15" hidden="false" customHeight="false" outlineLevel="0" collapsed="false">
      <c r="A18" s="10" t="n">
        <f aca="false">'Raw Prices'!A19</f>
        <v>45626</v>
      </c>
      <c r="B18" s="15" t="n">
        <f aca="false">IFERROR(('Raw Prices'!B19/'Raw Prices'!B18)-1,"")</f>
        <v>0.0347721822541967</v>
      </c>
      <c r="C18" s="15" t="n">
        <f aca="false">IFERROR(('Raw Prices'!C19/'Raw Prices'!C18)-1,"")</f>
        <v>0.0060788122331179</v>
      </c>
      <c r="D18" s="15" t="n">
        <f aca="false">IFERROR(('Raw Prices'!D19/'Raw Prices'!D18)-1,"")</f>
        <v>0.0572492353001037</v>
      </c>
      <c r="E18" s="15" t="n">
        <f aca="false">IFERROR(('Raw Prices'!E19/'Raw Prices'!E18)-1,"")</f>
        <v>-0.0256691317241637</v>
      </c>
      <c r="F18" s="15" t="n">
        <f aca="false">IFERROR(('Raw Prices'!F19/'Raw Prices'!F18)-1,"")</f>
        <v>-0.00120617826738456</v>
      </c>
      <c r="G18" s="15" t="n">
        <f aca="false">IFERROR(('Raw Prices'!G19/'Raw Prices'!G18)-1,"")</f>
        <v>-0.0246646074408741</v>
      </c>
      <c r="H18" s="15" t="n">
        <f aca="false">IFERROR(('Raw Prices'!H19/'Raw Prices'!H18)-1,"")</f>
        <v>-0.000202785722778875</v>
      </c>
      <c r="I18" s="15" t="str">
        <f aca="false">IFERROR(('Raw Prices'!I19/'Raw Prices'!I18)-1,"")</f>
        <v/>
      </c>
      <c r="J18" s="15" t="n">
        <f aca="false">IFERROR(('Raw Prices'!J19/'Raw Prices'!J18)-1,"")</f>
        <v>-0.0367781138270503</v>
      </c>
      <c r="K18" s="15" t="n">
        <f aca="false">IFERROR(('Raw Prices'!K19/'Raw Prices'!K18)-1,"")</f>
        <v>-0.0299170862832696</v>
      </c>
      <c r="L18" s="15" t="n">
        <f aca="false">IFERROR(('Raw Prices'!L19/'Raw Prices'!L18)-1,"")</f>
        <v>-0.00306750372125975</v>
      </c>
    </row>
    <row r="19" customFormat="false" ht="15" hidden="false" customHeight="false" outlineLevel="0" collapsed="false">
      <c r="A19" s="10" t="n">
        <f aca="false">'Raw Prices'!A20</f>
        <v>45657</v>
      </c>
      <c r="B19" s="15" t="n">
        <f aca="false">IFERROR(('Raw Prices'!B20/'Raw Prices'!B19)-1,"")</f>
        <v>-0.0129183254362516</v>
      </c>
      <c r="C19" s="15" t="n">
        <f aca="false">IFERROR(('Raw Prices'!C20/'Raw Prices'!C19)-1,"")</f>
        <v>-0.0141945972986492</v>
      </c>
      <c r="D19" s="15" t="n">
        <f aca="false">IFERROR(('Raw Prices'!D20/'Raw Prices'!D19)-1,"")</f>
        <v>0.0119237018961289</v>
      </c>
      <c r="E19" s="15" t="n">
        <f aca="false">IFERROR(('Raw Prices'!E20/'Raw Prices'!E19)-1,"")</f>
        <v>0.0426067480376442</v>
      </c>
      <c r="F19" s="15" t="n">
        <f aca="false">IFERROR(('Raw Prices'!F20/'Raw Prices'!F19)-1,"")</f>
        <v>-0.0678253916570152</v>
      </c>
      <c r="G19" s="15" t="n">
        <f aca="false">IFERROR(('Raw Prices'!G20/'Raw Prices'!G19)-1,"")</f>
        <v>0.0144876158063907</v>
      </c>
      <c r="H19" s="15" t="n">
        <f aca="false">IFERROR(('Raw Prices'!H20/'Raw Prices'!H19)-1,"")</f>
        <v>-0.0194870508883356</v>
      </c>
      <c r="I19" s="15" t="str">
        <f aca="false">IFERROR(('Raw Prices'!I20/'Raw Prices'!I19)-1,"")</f>
        <v/>
      </c>
      <c r="J19" s="15" t="n">
        <f aca="false">IFERROR(('Raw Prices'!J20/'Raw Prices'!J19)-1,"")</f>
        <v>0.059212445308702</v>
      </c>
      <c r="K19" s="15" t="n">
        <f aca="false">IFERROR(('Raw Prices'!K20/'Raw Prices'!K19)-1,"")</f>
        <v>-0.0594002216775685</v>
      </c>
      <c r="L19" s="15" t="n">
        <f aca="false">IFERROR(('Raw Prices'!L20/'Raw Prices'!L19)-1,"")</f>
        <v>-0.0201523691783456</v>
      </c>
    </row>
    <row r="20" customFormat="false" ht="15" hidden="false" customHeight="false" outlineLevel="0" collapsed="false">
      <c r="A20" s="10" t="n">
        <f aca="false">'Raw Prices'!A21</f>
        <v>45688</v>
      </c>
      <c r="B20" s="15" t="n">
        <f aca="false">IFERROR(('Raw Prices'!B21/'Raw Prices'!B20)-1,"")</f>
        <v>-0.0417959715006335</v>
      </c>
      <c r="C20" s="15" t="n">
        <f aca="false">IFERROR(('Raw Prices'!C21/'Raw Prices'!C20)-1,"")</f>
        <v>-0.0225103076435141</v>
      </c>
      <c r="D20" s="15" t="n">
        <f aca="false">IFERROR(('Raw Prices'!D21/'Raw Prices'!D20)-1,"")</f>
        <v>-0.000106306195413186</v>
      </c>
      <c r="E20" s="15" t="n">
        <f aca="false">IFERROR(('Raw Prices'!E21/'Raw Prices'!E20)-1,"")</f>
        <v>-0.141965332728939</v>
      </c>
      <c r="F20" s="15" t="n">
        <f aca="false">IFERROR(('Raw Prices'!F21/'Raw Prices'!F20)-1,"")</f>
        <v>0.0610035946888803</v>
      </c>
      <c r="G20" s="15" t="n">
        <f aca="false">IFERROR(('Raw Prices'!G21/'Raw Prices'!G20)-1,"")</f>
        <v>-0.0391147350029121</v>
      </c>
      <c r="H20" s="15" t="n">
        <f aca="false">IFERROR(('Raw Prices'!H21/'Raw Prices'!H20)-1,"")</f>
        <v>0.133744917877412</v>
      </c>
      <c r="I20" s="15" t="str">
        <f aca="false">IFERROR(('Raw Prices'!I21/'Raw Prices'!I20)-1,"")</f>
        <v/>
      </c>
      <c r="J20" s="15" t="n">
        <f aca="false">IFERROR(('Raw Prices'!J21/'Raw Prices'!J20)-1,"")</f>
        <v>-0.0754867763150789</v>
      </c>
      <c r="K20" s="15" t="n">
        <f aca="false">IFERROR(('Raw Prices'!K21/'Raw Prices'!K20)-1,"")</f>
        <v>0.0408534156542522</v>
      </c>
      <c r="L20" s="15" t="n">
        <f aca="false">IFERROR(('Raw Prices'!L21/'Raw Prices'!L20)-1,"")</f>
        <v>-0.00576872654852767</v>
      </c>
    </row>
    <row r="21" customFormat="false" ht="15" hidden="false" customHeight="false" outlineLevel="0" collapsed="false">
      <c r="A21" s="10" t="n">
        <f aca="false">'Raw Prices'!A22</f>
        <v>45716</v>
      </c>
      <c r="B21" s="15" t="n">
        <f aca="false">IFERROR(('Raw Prices'!B22/'Raw Prices'!B21)-1,"")</f>
        <v>0.0198081051903787</v>
      </c>
      <c r="C21" s="15" t="n">
        <f aca="false">IFERROR(('Raw Prices'!C22/'Raw Prices'!C21)-1,"")</f>
        <v>-0.0388705477729738</v>
      </c>
      <c r="D21" s="15" t="n">
        <f aca="false">IFERROR(('Raw Prices'!D22/'Raw Prices'!D21)-1,"")</f>
        <v>-0.102193497845672</v>
      </c>
      <c r="E21" s="15" t="n">
        <f aca="false">IFERROR(('Raw Prices'!E22/'Raw Prices'!E21)-1,"")</f>
        <v>-0.00564185018231933</v>
      </c>
      <c r="F21" s="15" t="n">
        <f aca="false">IFERROR(('Raw Prices'!F22/'Raw Prices'!F21)-1,"")</f>
        <v>-0.112825257121902</v>
      </c>
      <c r="G21" s="15" t="n">
        <f aca="false">IFERROR(('Raw Prices'!G22/'Raw Prices'!G21)-1,"")</f>
        <v>-0.10337972166998</v>
      </c>
      <c r="H21" s="15" t="n">
        <f aca="false">IFERROR(('Raw Prices'!H22/'Raw Prices'!H21)-1,"")</f>
        <v>-0.0296332480216027</v>
      </c>
      <c r="I21" s="15" t="str">
        <f aca="false">IFERROR(('Raw Prices'!I22/'Raw Prices'!I21)-1,"")</f>
        <v/>
      </c>
      <c r="J21" s="15" t="n">
        <f aca="false">IFERROR(('Raw Prices'!J22/'Raw Prices'!J21)-1,"")</f>
        <v>-0.0809085493347662</v>
      </c>
      <c r="K21" s="15" t="n">
        <f aca="false">IFERROR(('Raw Prices'!K22/'Raw Prices'!K21)-1,"")</f>
        <v>-0.0513844706482656</v>
      </c>
      <c r="L21" s="15" t="n">
        <f aca="false">IFERROR(('Raw Prices'!L22/'Raw Prices'!L21)-1,"")</f>
        <v>-0.0588598606874903</v>
      </c>
    </row>
    <row r="22" customFormat="false" ht="15" hidden="false" customHeight="false" outlineLevel="0" collapsed="false">
      <c r="A22" s="10" t="n">
        <f aca="false">'Raw Prices'!A23</f>
        <v>45747</v>
      </c>
      <c r="B22" s="15" t="n">
        <f aca="false">IFERROR(('Raw Prices'!B23/'Raw Prices'!B22)-1,"")</f>
        <v>0.0552965244903301</v>
      </c>
      <c r="C22" s="15" t="n">
        <f aca="false">IFERROR(('Raw Prices'!C23/'Raw Prices'!C22)-1,"")</f>
        <v>0.119800150224915</v>
      </c>
      <c r="D22" s="15" t="n">
        <f aca="false">IFERROR(('Raw Prices'!D23/'Raw Prices'!D22)-1,"")</f>
        <v>-0.0693562360156314</v>
      </c>
      <c r="E22" s="15" t="n">
        <f aca="false">IFERROR(('Raw Prices'!E23/'Raw Prices'!E22)-1,"")</f>
        <v>0.0414061936042736</v>
      </c>
      <c r="F22" s="15" t="n">
        <f aca="false">IFERROR(('Raw Prices'!F23/'Raw Prices'!F22)-1,"")</f>
        <v>0.0313213396589787</v>
      </c>
      <c r="G22" s="15" t="n">
        <f aca="false">IFERROR(('Raw Prices'!G23/'Raw Prices'!G22)-1,"")</f>
        <v>0.0373424909415392</v>
      </c>
      <c r="H22" s="15" t="n">
        <f aca="false">IFERROR(('Raw Prices'!H23/'Raw Prices'!H22)-1,"")</f>
        <v>-0.0354679272471182</v>
      </c>
      <c r="I22" s="15" t="str">
        <f aca="false">IFERROR(('Raw Prices'!I23/'Raw Prices'!I22)-1,"")</f>
        <v/>
      </c>
      <c r="J22" s="15" t="n">
        <f aca="false">IFERROR(('Raw Prices'!J23/'Raw Prices'!J22)-1,"")</f>
        <v>0.0887808597845772</v>
      </c>
      <c r="K22" s="15" t="n">
        <f aca="false">IFERROR(('Raw Prices'!K23/'Raw Prices'!K22)-1,"")</f>
        <v>0.0624968482627626</v>
      </c>
      <c r="L22" s="15" t="n">
        <f aca="false">IFERROR(('Raw Prices'!L23/'Raw Prices'!L22)-1,"")</f>
        <v>0.0630359028249441</v>
      </c>
    </row>
    <row r="23" customFormat="false" ht="15" hidden="false" customHeight="false" outlineLevel="0" collapsed="false">
      <c r="A23" s="10" t="n">
        <f aca="false">'Raw Prices'!A24</f>
        <v>45777</v>
      </c>
      <c r="B23" s="15" t="n">
        <f aca="false">IFERROR(('Raw Prices'!B24/'Raw Prices'!B23)-1,"")</f>
        <v>0.0529513204016996</v>
      </c>
      <c r="C23" s="15" t="n">
        <f aca="false">IFERROR(('Raw Prices'!C24/'Raw Prices'!C23)-1,"")</f>
        <v>0.0583340870037081</v>
      </c>
      <c r="D23" s="15" t="n">
        <f aca="false">IFERROR(('Raw Prices'!D24/'Raw Prices'!D23)-1,"")</f>
        <v>-0.0449172576832152</v>
      </c>
      <c r="E23" s="15" t="n">
        <f aca="false">IFERROR(('Raw Prices'!E24/'Raw Prices'!E23)-1,"")</f>
        <v>-0.0969154201267104</v>
      </c>
      <c r="F23" s="15" t="n">
        <f aca="false">IFERROR(('Raw Prices'!F24/'Raw Prices'!F23)-1,"")</f>
        <v>0.0377622313921606</v>
      </c>
      <c r="G23" s="15" t="n">
        <f aca="false">IFERROR(('Raw Prices'!G24/'Raw Prices'!G23)-1,"")</f>
        <v>0.0391523082136434</v>
      </c>
      <c r="H23" s="15" t="n">
        <f aca="false">IFERROR(('Raw Prices'!H24/'Raw Prices'!H23)-1,"")</f>
        <v>0.0637768664757421</v>
      </c>
      <c r="I23" s="15" t="str">
        <f aca="false">IFERROR(('Raw Prices'!I24/'Raw Prices'!I23)-1,"")</f>
        <v/>
      </c>
      <c r="J23" s="15" t="n">
        <f aca="false">IFERROR(('Raw Prices'!J24/'Raw Prices'!J23)-1,"")</f>
        <v>0.0562637157398329</v>
      </c>
      <c r="K23" s="15" t="n">
        <f aca="false">IFERROR(('Raw Prices'!K24/'Raw Prices'!K23)-1,"")</f>
        <v>0.101876315081713</v>
      </c>
      <c r="L23" s="15" t="n">
        <f aca="false">IFERROR(('Raw Prices'!L24/'Raw Prices'!L23)-1,"")</f>
        <v>0.0346459244641775</v>
      </c>
    </row>
    <row r="24" customFormat="false" ht="15" hidden="false" customHeight="false" outlineLevel="0" collapsed="false">
      <c r="A24" s="10" t="n">
        <f aca="false">'Raw Prices'!A25</f>
        <v>45808</v>
      </c>
      <c r="B24" s="15" t="n">
        <f aca="false">IFERROR(('Raw Prices'!B25/'Raw Prices'!B24)-1,"")</f>
        <v>0.0103402875156549</v>
      </c>
      <c r="C24" s="15" t="n">
        <f aca="false">IFERROR(('Raw Prices'!C25/'Raw Prices'!C24)-1,"")</f>
        <v>0.0131743861448186</v>
      </c>
      <c r="D24" s="15" t="n">
        <f aca="false">IFERROR(('Raw Prices'!D25/'Raw Prices'!D24)-1,"")</f>
        <v>0.0577931730850139</v>
      </c>
      <c r="E24" s="15" t="n">
        <f aca="false">IFERROR(('Raw Prices'!E25/'Raw Prices'!E24)-1,"")</f>
        <v>0.0411898891962506</v>
      </c>
      <c r="F24" s="15" t="n">
        <f aca="false">IFERROR(('Raw Prices'!F25/'Raw Prices'!F24)-1,"")</f>
        <v>0.00181260396139549</v>
      </c>
      <c r="G24" s="15" t="n">
        <f aca="false">IFERROR(('Raw Prices'!G25/'Raw Prices'!G24)-1,"")</f>
        <v>-0.000100338642919806</v>
      </c>
      <c r="H24" s="15" t="n">
        <f aca="false">IFERROR(('Raw Prices'!H25/'Raw Prices'!H24)-1,"")</f>
        <v>0.0050586454691679</v>
      </c>
      <c r="I24" s="15" t="str">
        <f aca="false">IFERROR(('Raw Prices'!I25/'Raw Prices'!I24)-1,"")</f>
        <v/>
      </c>
      <c r="J24" s="15" t="n">
        <f aca="false">IFERROR(('Raw Prices'!J25/'Raw Prices'!J24)-1,"")</f>
        <v>-0.0844310847847228</v>
      </c>
      <c r="K24" s="15" t="n">
        <f aca="false">IFERROR(('Raw Prices'!K25/'Raw Prices'!K24)-1,"")</f>
        <v>0.0113139550744092</v>
      </c>
      <c r="L24" s="15" t="n">
        <f aca="false">IFERROR(('Raw Prices'!L25/'Raw Prices'!L24)-1,"")</f>
        <v>0.017115829300633</v>
      </c>
    </row>
    <row r="25" customFormat="false" ht="15" hidden="false" customHeight="false" outlineLevel="0" collapsed="false">
      <c r="A25" s="10" t="n">
        <f aca="false">'Raw Prices'!A26</f>
        <v>45838</v>
      </c>
      <c r="B25" s="15" t="n">
        <f aca="false">IFERROR(('Raw Prices'!B26/'Raw Prices'!B25)-1,"")</f>
        <v>0.0404187017279922</v>
      </c>
      <c r="C25" s="15" t="n">
        <f aca="false">IFERROR(('Raw Prices'!C26/'Raw Prices'!C25)-1,"")</f>
        <v>0</v>
      </c>
      <c r="D25" s="15" t="n">
        <f aca="false">IFERROR(('Raw Prices'!D26/'Raw Prices'!D25)-1,"")</f>
        <v>0.0236586368276612</v>
      </c>
      <c r="E25" s="15" t="n">
        <f aca="false">IFERROR(('Raw Prices'!E26/'Raw Prices'!E25)-1,"")</f>
        <v>0.0211218805934061</v>
      </c>
      <c r="F25" s="15" t="n">
        <f aca="false">IFERROR(('Raw Prices'!F26/'Raw Prices'!F25)-1,"")</f>
        <v>-0.0126346040952938</v>
      </c>
      <c r="G25" s="15" t="n">
        <f aca="false">IFERROR(('Raw Prices'!G26/'Raw Prices'!G25)-1,"")</f>
        <v>-0.00383833822533308</v>
      </c>
      <c r="H25" s="15" t="n">
        <f aca="false">IFERROR(('Raw Prices'!H26/'Raw Prices'!H25)-1,"")</f>
        <v>0.00657471622553429</v>
      </c>
      <c r="I25" s="15" t="str">
        <f aca="false">IFERROR(('Raw Prices'!I26/'Raw Prices'!I25)-1,"")</f>
        <v/>
      </c>
      <c r="J25" s="15" t="n">
        <f aca="false">IFERROR(('Raw Prices'!J26/'Raw Prices'!J25)-1,"")</f>
        <v>-0.00112857280803402</v>
      </c>
      <c r="K25" s="15" t="n">
        <f aca="false">IFERROR(('Raw Prices'!K26/'Raw Prices'!K25)-1,"")</f>
        <v>0.0560930767428818</v>
      </c>
      <c r="L25" s="15" t="n">
        <f aca="false">IFERROR(('Raw Prices'!L26/'Raw Prices'!L25)-1,"")</f>
        <v>0.0309628247355416</v>
      </c>
    </row>
    <row r="26" customFormat="false" ht="15" hidden="false" customHeight="false" outlineLevel="0" collapsed="false">
      <c r="A26" s="10" t="n">
        <f aca="false">'Raw Prices'!A27</f>
        <v>45869</v>
      </c>
      <c r="B26" s="15" t="n">
        <f aca="false">IFERROR(('Raw Prices'!B27/'Raw Prices'!B26)-1,"")</f>
        <v>0.0108551760656606</v>
      </c>
      <c r="C26" s="15" t="n">
        <f aca="false">IFERROR(('Raw Prices'!C27/'Raw Prices'!C26)-1,"")</f>
        <v>0.024621504983342</v>
      </c>
      <c r="D26" s="15" t="n">
        <f aca="false">IFERROR(('Raw Prices'!D27/'Raw Prices'!D26)-1,"")</f>
        <v>-0.0579317847729937</v>
      </c>
      <c r="E26" s="15" t="n">
        <f aca="false">IFERROR(('Raw Prices'!E27/'Raw Prices'!E26)-1,"")</f>
        <v>-0.12306159577233</v>
      </c>
      <c r="F26" s="15" t="n">
        <f aca="false">IFERROR(('Raw Prices'!F27/'Raw Prices'!F26)-1,"")</f>
        <v>0.0987540931235522</v>
      </c>
      <c r="G26" s="15" t="n">
        <f aca="false">IFERROR(('Raw Prices'!G27/'Raw Prices'!G26)-1,"")</f>
        <v>-0.0108038682381383</v>
      </c>
      <c r="H26" s="15" t="n">
        <f aca="false">IFERROR(('Raw Prices'!H27/'Raw Prices'!H26)-1,"")</f>
        <v>0.0167744591506966</v>
      </c>
      <c r="I26" s="15" t="str">
        <f aca="false">IFERROR(('Raw Prices'!I27/'Raw Prices'!I26)-1,"")</f>
        <v/>
      </c>
      <c r="J26" s="15" t="n">
        <f aca="false">IFERROR(('Raw Prices'!J27/'Raw Prices'!J26)-1,"")</f>
        <v>0.0218477545027764</v>
      </c>
      <c r="K26" s="15" t="n">
        <f aca="false">IFERROR(('Raw Prices'!K27/'Raw Prices'!K26)-1,"")</f>
        <v>-0.0735674676524954</v>
      </c>
      <c r="L26" s="15" t="n">
        <f aca="false">IFERROR(('Raw Prices'!L27/'Raw Prices'!L26)-1,"")</f>
        <v>-0.0293412110367192</v>
      </c>
    </row>
    <row r="27" customFormat="false" ht="15" hidden="false" customHeight="false" outlineLevel="0" collapsed="false">
      <c r="A27" s="10" t="n">
        <f aca="false">'Raw Prices'!A28</f>
        <v>45900</v>
      </c>
      <c r="B27" s="15" t="n">
        <f aca="false">IFERROR(('Raw Prices'!B28/'Raw Prices'!B27)-1,"")</f>
        <v>-0.0569770721682718</v>
      </c>
      <c r="C27" s="15" t="n">
        <f aca="false">IFERROR(('Raw Prices'!C28/'Raw Prices'!C27)-1,"")</f>
        <v>-0.0491572744671657</v>
      </c>
      <c r="D27" s="15" t="n">
        <f aca="false">IFERROR(('Raw Prices'!D28/'Raw Prices'!D27)-1,"")</f>
        <v>-0.0261140936367948</v>
      </c>
      <c r="E27" s="15" t="n">
        <f aca="false">IFERROR(('Raw Prices'!E28/'Raw Prices'!E27)-1,"")</f>
        <v>-0.0395488598007738</v>
      </c>
      <c r="F27" s="15" t="n">
        <f aca="false">IFERROR(('Raw Prices'!F28/'Raw Prices'!F27)-1,"")</f>
        <v>0.13573606315747</v>
      </c>
      <c r="G27" s="15" t="n">
        <f aca="false">IFERROR(('Raw Prices'!G28/'Raw Prices'!G27)-1,"")</f>
        <v>-0.00532090939178709</v>
      </c>
      <c r="H27" s="15" t="n">
        <f aca="false">IFERROR(('Raw Prices'!H28/'Raw Prices'!H27)-1,"")</f>
        <v>0.185841259763964</v>
      </c>
      <c r="I27" s="15" t="str">
        <f aca="false">IFERROR(('Raw Prices'!I28/'Raw Prices'!I27)-1,"")</f>
        <v/>
      </c>
      <c r="J27" s="15" t="n">
        <f aca="false">IFERROR(('Raw Prices'!J28/'Raw Prices'!J27)-1,"")</f>
        <v>-0.0657383592017738</v>
      </c>
      <c r="K27" s="15" t="n">
        <f aca="false">IFERROR(('Raw Prices'!K28/'Raw Prices'!K27)-1,"")</f>
        <v>-0.0198432852064137</v>
      </c>
      <c r="L27" s="15" t="n">
        <f aca="false">IFERROR(('Raw Prices'!L28/'Raw Prices'!L27)-1,"")</f>
        <v>-0.0137877575773523</v>
      </c>
    </row>
    <row r="28" customFormat="false" ht="15" hidden="false" customHeight="false" outlineLevel="0" collapsed="false">
      <c r="A28" s="10" t="n">
        <f aca="false">'Raw Prices'!A29</f>
        <v>45930</v>
      </c>
      <c r="B28" s="15" t="n">
        <f aca="false">IFERROR(('Raw Prices'!B29/'Raw Prices'!B28)-1,"")</f>
        <v>-0.000630261077639638</v>
      </c>
      <c r="C28" s="15" t="n">
        <f aca="false">IFERROR(('Raw Prices'!C29/'Raw Prices'!C28)-1,"")</f>
        <v>-0.0356248782564154</v>
      </c>
      <c r="D28" s="15" t="n">
        <f aca="false">IFERROR(('Raw Prices'!D29/'Raw Prices'!D28)-1,"")</f>
        <v>-0.0189161337681221</v>
      </c>
      <c r="E28" s="15" t="n">
        <f aca="false">IFERROR(('Raw Prices'!E29/'Raw Prices'!E28)-1,"")</f>
        <v>0.0233315618946393</v>
      </c>
      <c r="F28" s="15" t="n">
        <f aca="false">IFERROR(('Raw Prices'!F29/'Raw Prices'!F28)-1,"")</f>
        <v>-0.121888866765275</v>
      </c>
      <c r="G28" s="15" t="n">
        <f aca="false">IFERROR(('Raw Prices'!G29/'Raw Prices'!G28)-1,"")</f>
        <v>-0.0200153570514461</v>
      </c>
      <c r="H28" s="15" t="n">
        <f aca="false">IFERROR(('Raw Prices'!H29/'Raw Prices'!H28)-1,"")</f>
        <v>0.0836995260152158</v>
      </c>
      <c r="I28" s="15" t="str">
        <f aca="false">IFERROR(('Raw Prices'!I29/'Raw Prices'!I28)-1,"")</f>
        <v/>
      </c>
      <c r="J28" s="15" t="n">
        <f aca="false">IFERROR(('Raw Prices'!J29/'Raw Prices'!J28)-1,"")</f>
        <v>-0.000126576670653855</v>
      </c>
      <c r="K28" s="15" t="n">
        <f aca="false">IFERROR(('Raw Prices'!K29/'Raw Prices'!K28)-1,"")</f>
        <v>0.00501128835264075</v>
      </c>
      <c r="L28" s="15" t="n">
        <f aca="false">IFERROR(('Raw Prices'!L29/'Raw Prices'!L28)-1,"")</f>
        <v>0.00754292931545764</v>
      </c>
    </row>
    <row r="29" customFormat="false" ht="15" hidden="false" customHeight="false" outlineLevel="0" collapsed="false">
      <c r="A29" s="10" t="n">
        <f aca="false">'Raw Prices'!A30</f>
        <v>45961</v>
      </c>
      <c r="B29" s="15" t="n">
        <f aca="false">IFERROR(('Raw Prices'!B30/'Raw Prices'!B29)-1,"")</f>
        <v>0.038170876401612</v>
      </c>
      <c r="C29" s="15" t="n">
        <f aca="false">IFERROR(('Raw Prices'!C30/'Raw Prices'!C29)-1,"")</f>
        <v>-0.0020048925362639</v>
      </c>
      <c r="D29" s="15" t="n">
        <f aca="false">IFERROR(('Raw Prices'!D30/'Raw Prices'!D29)-1,"")</f>
        <v>0.0438279687477519</v>
      </c>
      <c r="E29" s="15" t="n">
        <f aca="false">IFERROR(('Raw Prices'!E30/'Raw Prices'!E29)-1,"")</f>
        <v>-0.0128689650551144</v>
      </c>
      <c r="F29" s="15" t="n">
        <f aca="false">IFERROR(('Raw Prices'!F30/'Raw Prices'!F29)-1,"")</f>
        <v>-0.0194479424376537</v>
      </c>
      <c r="G29" s="15" t="n">
        <f aca="false">IFERROR(('Raw Prices'!G30/'Raw Prices'!G29)-1,"")</f>
        <v>0.0468031759297953</v>
      </c>
      <c r="H29" s="15" t="n">
        <f aca="false">IFERROR(('Raw Prices'!H30/'Raw Prices'!H29)-1,"")</f>
        <v>0.00979481550282868</v>
      </c>
      <c r="I29" s="15" t="str">
        <f aca="false">IFERROR(('Raw Prices'!I30/'Raw Prices'!I29)-1,"")</f>
        <v/>
      </c>
      <c r="J29" s="15" t="n">
        <f aca="false">IFERROR(('Raw Prices'!J30/'Raw Prices'!J29)-1,"")</f>
        <v>0.0604670004494041</v>
      </c>
      <c r="K29" s="15" t="n">
        <f aca="false">IFERROR(('Raw Prices'!K30/'Raw Prices'!K29)-1,"")</f>
        <v>0.089738679551012</v>
      </c>
      <c r="L29" s="15" t="n">
        <f aca="false">IFERROR(('Raw Prices'!L30/'Raw Prices'!L29)-1,"")</f>
        <v>0.0451422332870377</v>
      </c>
    </row>
    <row r="30" customFormat="false" ht="15" hidden="false" customHeight="false" outlineLevel="0" collapsed="false">
      <c r="A30" s="10" t="n">
        <f aca="false">'Raw Prices'!A31</f>
        <v>45991</v>
      </c>
      <c r="B30" s="15" t="n">
        <f aca="false">IFERROR(('Raw Prices'!B31/'Raw Prices'!B30)-1,"")</f>
        <v>0.0205613442609447</v>
      </c>
      <c r="C30" s="15" t="n">
        <f aca="false">IFERROR(('Raw Prices'!C31/'Raw Prices'!C30)-1,"")</f>
        <v>0.0323376185300401</v>
      </c>
      <c r="D30" s="15" t="n">
        <f aca="false">IFERROR(('Raw Prices'!D31/'Raw Prices'!D30)-1,"")</f>
        <v>0.0524915569646425</v>
      </c>
      <c r="E30" s="15" t="n">
        <f aca="false">IFERROR(('Raw Prices'!E31/'Raw Prices'!E30)-1,"")</f>
        <v>-0.0591116285226505</v>
      </c>
      <c r="F30" s="15" t="n">
        <f aca="false">IFERROR(('Raw Prices'!F31/'Raw Prices'!F30)-1,"")</f>
        <v>0.00830841908789104</v>
      </c>
      <c r="G30" s="15" t="n">
        <f aca="false">IFERROR(('Raw Prices'!G31/'Raw Prices'!G30)-1,"")</f>
        <v>-0.0382984031936129</v>
      </c>
      <c r="H30" s="15" t="n">
        <f aca="false">IFERROR(('Raw Prices'!H31/'Raw Prices'!H30)-1,"")</f>
        <v>-0.017669824637162</v>
      </c>
      <c r="I30" s="15" t="str">
        <f aca="false">IFERROR(('Raw Prices'!I31/'Raw Prices'!I30)-1,"")</f>
        <v/>
      </c>
      <c r="J30" s="15" t="n">
        <f aca="false">IFERROR(('Raw Prices'!J31/'Raw Prices'!J30)-1,"")</f>
        <v>0.0833353229079623</v>
      </c>
      <c r="K30" s="15" t="n">
        <f aca="false">IFERROR(('Raw Prices'!K31/'Raw Prices'!K30)-1,"")</f>
        <v>0.0545635188839926</v>
      </c>
      <c r="L30" s="15" t="n">
        <f aca="false">IFERROR(('Raw Prices'!L31/'Raw Prices'!L30)-1,"")</f>
        <v>0.018694026432887</v>
      </c>
    </row>
    <row r="31" customFormat="false" ht="15" hidden="false" customHeight="false" outlineLevel="0" collapsed="false">
      <c r="A31" s="10" t="n">
        <f aca="false">'Raw Prices'!A32</f>
        <v>46022</v>
      </c>
      <c r="B31" s="15" t="n">
        <f aca="false">IFERROR(('Raw Prices'!B32/'Raw Prices'!B31)-1,"")</f>
        <v>-0.0162831287012842</v>
      </c>
      <c r="C31" s="15" t="n">
        <f aca="false">IFERROR(('Raw Prices'!C32/'Raw Prices'!C31)-1,"")</f>
        <v>-0.0330528104328379</v>
      </c>
      <c r="D31" s="15" t="n">
        <f aca="false">IFERROR(('Raw Prices'!D32/'Raw Prices'!D31)-1,"")</f>
        <v>0.0354406506620566</v>
      </c>
      <c r="E31" s="15" t="n">
        <f aca="false">IFERROR(('Raw Prices'!E32/'Raw Prices'!E31)-1,"")</f>
        <v>0.0766486420189529</v>
      </c>
      <c r="F31" s="15" t="n">
        <f aca="false">IFERROR(('Raw Prices'!F32/'Raw Prices'!F31)-1,"")</f>
        <v>-0.0610952755389557</v>
      </c>
      <c r="G31" s="15" t="n">
        <f aca="false">IFERROR(('Raw Prices'!G32/'Raw Prices'!G31)-1,"")</f>
        <v>-0.00308730055778961</v>
      </c>
      <c r="H31" s="15" t="n">
        <f aca="false">IFERROR(('Raw Prices'!H32/'Raw Prices'!H31)-1,"")</f>
        <v>0.0501260965957095</v>
      </c>
      <c r="I31" s="15" t="str">
        <f aca="false">IFERROR(('Raw Prices'!I32/'Raw Prices'!I31)-1,"")</f>
        <v/>
      </c>
      <c r="J31" s="15" t="n">
        <f aca="false">IFERROR(('Raw Prices'!J32/'Raw Prices'!J31)-1,"")</f>
        <v>-0.0610902359202653</v>
      </c>
      <c r="K31" s="15" t="n">
        <f aca="false">IFERROR(('Raw Prices'!K32/'Raw Prices'!K31)-1,"")</f>
        <v>0.00184581071467482</v>
      </c>
      <c r="L31" s="15" t="n">
        <f aca="false">IFERROR(('Raw Prices'!L32/'Raw Prices'!L31)-1,"")</f>
        <v>-0.00279928833151388</v>
      </c>
    </row>
    <row r="32" customFormat="false" ht="15" hidden="false" customHeight="false" outlineLevel="0" collapsed="false">
      <c r="A32" s="10" t="n">
        <f aca="false">'Raw Prices'!A33</f>
        <v>46053</v>
      </c>
      <c r="B32" s="15" t="n">
        <f aca="false">IFERROR(('Raw Prices'!B33/'Raw Prices'!B32)-1,"")</f>
        <v>-0.0624980770611341</v>
      </c>
      <c r="C32" s="15" t="n">
        <f aca="false">IFERROR(('Raw Prices'!C33/'Raw Prices'!C32)-1,"")</f>
        <v>0.00901124152380084</v>
      </c>
      <c r="D32" s="15" t="n">
        <f aca="false">IFERROR(('Raw Prices'!D33/'Raw Prices'!D32)-1,"")</f>
        <v>0.015848922956273</v>
      </c>
      <c r="E32" s="15" t="n">
        <f aca="false">IFERROR(('Raw Prices'!E33/'Raw Prices'!E32)-1,"")</f>
        <v>0.0269549455372728</v>
      </c>
      <c r="F32" s="15" t="n">
        <f aca="false">IFERROR(('Raw Prices'!F33/'Raw Prices'!F32)-1,"")</f>
        <v>0.0246578091058982</v>
      </c>
      <c r="G32" s="15" t="n">
        <f aca="false">IFERROR(('Raw Prices'!G33/'Raw Prices'!G32)-1,"")</f>
        <v>-0.200619372300005</v>
      </c>
      <c r="H32" s="15" t="n">
        <f aca="false">IFERROR(('Raw Prices'!H33/'Raw Prices'!H32)-1,"")</f>
        <v>-0.125651352793361</v>
      </c>
      <c r="I32" s="15" t="str">
        <f aca="false">IFERROR(('Raw Prices'!I33/'Raw Prices'!I32)-1,"")</f>
        <v/>
      </c>
      <c r="J32" s="15" t="n">
        <f aca="false">IFERROR(('Raw Prices'!J33/'Raw Prices'!J32)-1,"")</f>
        <v>-0.0723414742920184</v>
      </c>
      <c r="K32" s="15" t="n">
        <f aca="false">IFERROR(('Raw Prices'!K33/'Raw Prices'!K32)-1,"")</f>
        <v>-0.111433817179194</v>
      </c>
      <c r="L32" s="15" t="n">
        <f aca="false">IFERROR(('Raw Prices'!L33/'Raw Prices'!L32)-1,"")</f>
        <v>-0.0309591126578676</v>
      </c>
    </row>
    <row r="33" customFormat="false" ht="15" hidden="false" customHeight="false" outlineLevel="0" collapsed="false">
      <c r="A33" s="10" t="n">
        <f aca="false">'Raw Prices'!A34</f>
        <v>46081</v>
      </c>
      <c r="B33" s="15" t="n">
        <f aca="false">IFERROR(('Raw Prices'!B34/'Raw Prices'!B33)-1,"")</f>
        <v>-0.0446544802161619</v>
      </c>
      <c r="C33" s="15" t="n">
        <f aca="false">IFERROR(('Raw Prices'!C34/'Raw Prices'!C33)-1,"")</f>
        <v>0.0176382593940476</v>
      </c>
      <c r="D33" s="15" t="n">
        <f aca="false">IFERROR(('Raw Prices'!D34/'Raw Prices'!D33)-1,"")</f>
        <v>-0.207739814722582</v>
      </c>
      <c r="E33" s="15" t="n">
        <f aca="false">IFERROR(('Raw Prices'!E34/'Raw Prices'!E33)-1,"")</f>
        <v>-0.155667425760018</v>
      </c>
      <c r="F33" s="15" t="n">
        <f aca="false">IFERROR(('Raw Prices'!F34/'Raw Prices'!F33)-1,"")</f>
        <v>-0.0147076978089575</v>
      </c>
      <c r="G33" s="15" t="n">
        <f aca="false">IFERROR(('Raw Prices'!G34/'Raw Prices'!G33)-1,"")</f>
        <v>-0.00615294462349858</v>
      </c>
      <c r="H33" s="15" t="n">
        <f aca="false">IFERROR(('Raw Prices'!H34/'Raw Prices'!H33)-1,"")</f>
        <v>0.0176721203500247</v>
      </c>
      <c r="I33" s="15" t="str">
        <f aca="false">IFERROR(('Raw Prices'!I34/'Raw Prices'!I33)-1,"")</f>
        <v/>
      </c>
      <c r="J33" s="15" t="n">
        <f aca="false">IFERROR(('Raw Prices'!J34/'Raw Prices'!J33)-1,"")</f>
        <v>0.0958971698948674</v>
      </c>
      <c r="K33" s="15" t="n">
        <f aca="false">IFERROR(('Raw Prices'!K34/'Raw Prices'!K33)-1,"")</f>
        <v>-0.00107992915664734</v>
      </c>
      <c r="L33" s="15" t="n">
        <f aca="false">IFERROR(('Raw Prices'!L34/'Raw Prices'!L33)-1,"")</f>
        <v>-0.00560807079625703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8" t="s">
        <v>34</v>
      </c>
      <c r="B1" s="8" t="s">
        <v>35</v>
      </c>
      <c r="C1" s="8" t="s">
        <v>36</v>
      </c>
      <c r="D1" s="8" t="s">
        <v>37</v>
      </c>
    </row>
    <row r="2" customFormat="false" ht="15" hidden="false" customHeight="false" outlineLevel="0" collapsed="false">
      <c r="A2" s="16" t="s">
        <v>38</v>
      </c>
      <c r="B2" s="16" t="s">
        <v>39</v>
      </c>
      <c r="C2" s="15" t="n">
        <f aca="false">IFERROR(AVERAGE('Monthly Returns'!B2:B33),"")</f>
        <v>0.00346626881031648</v>
      </c>
      <c r="D2" s="15" t="n">
        <f aca="false">IFERROR(_xlfn.STDEV.S('Monthly Returns'!B2:B33),"")</f>
        <v>0.0511606526917479</v>
      </c>
    </row>
    <row r="3" customFormat="false" ht="15" hidden="false" customHeight="false" outlineLevel="0" collapsed="false">
      <c r="A3" s="16" t="s">
        <v>40</v>
      </c>
      <c r="B3" s="16" t="s">
        <v>41</v>
      </c>
      <c r="C3" s="15" t="n">
        <f aca="false">IFERROR(AVERAGE('Monthly Returns'!C2:C33),"")</f>
        <v>0.0137097226063853</v>
      </c>
      <c r="D3" s="15" t="n">
        <f aca="false">IFERROR(_xlfn.STDEV.S('Monthly Returns'!C2:C33),"")</f>
        <v>0.0386980885937145</v>
      </c>
    </row>
    <row r="4" customFormat="false" ht="15" hidden="false" customHeight="false" outlineLevel="0" collapsed="false">
      <c r="A4" s="16" t="s">
        <v>42</v>
      </c>
      <c r="B4" s="16" t="s">
        <v>43</v>
      </c>
      <c r="C4" s="15" t="n">
        <f aca="false">IFERROR(AVERAGE('Monthly Returns'!D2:D33),"")</f>
        <v>0.00409181286098764</v>
      </c>
      <c r="D4" s="15" t="n">
        <f aca="false">IFERROR(_xlfn.STDEV.S('Monthly Returns'!D2:D33),"")</f>
        <v>0.0730866859844551</v>
      </c>
    </row>
    <row r="5" customFormat="false" ht="15" hidden="false" customHeight="false" outlineLevel="0" collapsed="false">
      <c r="A5" s="16" t="s">
        <v>44</v>
      </c>
      <c r="B5" s="16" t="s">
        <v>45</v>
      </c>
      <c r="C5" s="15" t="n">
        <f aca="false">IFERROR(AVERAGE('Monthly Returns'!E2:E33),"")</f>
        <v>-0.00204360386623982</v>
      </c>
      <c r="D5" s="15" t="n">
        <f aca="false">IFERROR(_xlfn.STDEV.S('Monthly Returns'!E2:E33),"")</f>
        <v>0.0719593960101138</v>
      </c>
    </row>
    <row r="6" customFormat="false" ht="15" hidden="false" customHeight="false" outlineLevel="0" collapsed="false">
      <c r="A6" s="16" t="s">
        <v>46</v>
      </c>
      <c r="B6" s="16" t="s">
        <v>47</v>
      </c>
      <c r="C6" s="15" t="n">
        <f aca="false">IFERROR(AVERAGE('Monthly Returns'!F2:F33),"")</f>
        <v>-0.000728579858961485</v>
      </c>
      <c r="D6" s="15" t="n">
        <f aca="false">IFERROR(_xlfn.STDEV.S('Monthly Returns'!F2:F33),"")</f>
        <v>0.0645270770404758</v>
      </c>
    </row>
    <row r="7" customFormat="false" ht="15" hidden="false" customHeight="false" outlineLevel="0" collapsed="false">
      <c r="A7" s="16" t="s">
        <v>48</v>
      </c>
      <c r="B7" s="16" t="s">
        <v>49</v>
      </c>
      <c r="C7" s="15" t="n">
        <f aca="false">IFERROR(AVERAGE('Monthly Returns'!G2:G33),"")</f>
        <v>-0.00563976902091412</v>
      </c>
      <c r="D7" s="15" t="n">
        <f aca="false">IFERROR(_xlfn.STDEV.S('Monthly Returns'!G2:G33),"")</f>
        <v>0.05984665277367</v>
      </c>
    </row>
    <row r="8" customFormat="false" ht="15" hidden="false" customHeight="false" outlineLevel="0" collapsed="false">
      <c r="A8" s="16" t="s">
        <v>50</v>
      </c>
      <c r="B8" s="16" t="s">
        <v>51</v>
      </c>
      <c r="C8" s="15" t="n">
        <f aca="false">IFERROR(AVERAGE('Monthly Returns'!H2:H33),"")</f>
        <v>0.0164141572749112</v>
      </c>
      <c r="D8" s="15" t="n">
        <f aca="false">IFERROR(_xlfn.STDEV.S('Monthly Returns'!H2:H33),"")</f>
        <v>0.0699852522169</v>
      </c>
    </row>
    <row r="9" customFormat="false" ht="15" hidden="false" customHeight="false" outlineLevel="0" collapsed="false">
      <c r="A9" s="16" t="s">
        <v>52</v>
      </c>
      <c r="B9" s="16" t="s">
        <v>53</v>
      </c>
      <c r="C9" s="15" t="str">
        <f aca="false">IFERROR(AVERAGE('Monthly Returns'!I2:I33),"")</f>
        <v/>
      </c>
      <c r="D9" s="15" t="str">
        <f aca="false">IFERROR(_xlfn.STDEV.S('Monthly Returns'!I2:I33),"")</f>
        <v/>
      </c>
    </row>
    <row r="10" customFormat="false" ht="15" hidden="false" customHeight="false" outlineLevel="0" collapsed="false">
      <c r="A10" s="16" t="s">
        <v>54</v>
      </c>
      <c r="B10" s="16" t="s">
        <v>55</v>
      </c>
      <c r="C10" s="15" t="n">
        <f aca="false">IFERROR(AVERAGE('Monthly Returns'!J2:J33),"")</f>
        <v>0.0190607885713899</v>
      </c>
      <c r="D10" s="15" t="n">
        <f aca="false">IFERROR(_xlfn.STDEV.S('Monthly Returns'!J2:J33),"")</f>
        <v>0.0703752849320712</v>
      </c>
    </row>
    <row r="11" customFormat="false" ht="15" hidden="false" customHeight="false" outlineLevel="0" collapsed="false">
      <c r="A11" s="16" t="s">
        <v>56</v>
      </c>
      <c r="B11" s="16" t="s">
        <v>57</v>
      </c>
      <c r="C11" s="15" t="n">
        <f aca="false">IFERROR(AVERAGE('Monthly Returns'!K2:K33),"")</f>
        <v>0.00730520299113746</v>
      </c>
      <c r="D11" s="15" t="n">
        <f aca="false">IFERROR(_xlfn.STDEV.S('Monthly Returns'!K2:K33),"")</f>
        <v>0.0586986056814991</v>
      </c>
    </row>
    <row r="12" customFormat="false" ht="15" hidden="false" customHeight="false" outlineLevel="0" collapsed="false">
      <c r="A12" s="16" t="s">
        <v>58</v>
      </c>
      <c r="B12" s="16" t="s">
        <v>59</v>
      </c>
      <c r="C12" s="15" t="n">
        <f aca="false">IFERROR(AVERAGE('Monthly Returns'!L2:L33),"")</f>
        <v>0.0090712691224247</v>
      </c>
      <c r="D12" s="15" t="n">
        <f aca="false">IFERROR(_xlfn.STDEV.S('Monthly Returns'!L2:L33),"")</f>
        <v>0.0336886342370168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17"/>
      <c r="B1" s="18" t="s">
        <v>39</v>
      </c>
      <c r="C1" s="18" t="s">
        <v>41</v>
      </c>
      <c r="D1" s="18" t="s">
        <v>43</v>
      </c>
      <c r="E1" s="18" t="s">
        <v>45</v>
      </c>
      <c r="F1" s="18" t="s">
        <v>47</v>
      </c>
      <c r="G1" s="18" t="s">
        <v>49</v>
      </c>
      <c r="H1" s="18" t="s">
        <v>51</v>
      </c>
      <c r="I1" s="18" t="s">
        <v>53</v>
      </c>
      <c r="J1" s="18" t="s">
        <v>55</v>
      </c>
      <c r="K1" s="18" t="s">
        <v>57</v>
      </c>
    </row>
    <row r="2" customFormat="false" ht="15" hidden="false" customHeight="false" outlineLevel="0" collapsed="false">
      <c r="A2" s="8" t="s">
        <v>39</v>
      </c>
      <c r="B2" s="19" t="n">
        <f aca="false">IFERROR(_xlfn.COVARIANCE.S('Monthly Returns'!B2:B33,'Monthly Returns'!B2:B33),"")</f>
        <v>0.00261741238384565</v>
      </c>
      <c r="C2" s="19" t="n">
        <f aca="false">IFERROR(_xlfn.COVARIANCE.S('Monthly Returns'!B2:B33,'Monthly Returns'!C2:C33),"")</f>
        <v>0.000867848707326822</v>
      </c>
      <c r="D2" s="19" t="n">
        <f aca="false">IFERROR(_xlfn.COVARIANCE.S('Monthly Returns'!B2:B33,'Monthly Returns'!D2:D33),"")</f>
        <v>-6.21247226713076E-005</v>
      </c>
      <c r="E2" s="19" t="n">
        <f aca="false">IFERROR(_xlfn.COVARIANCE.S('Monthly Returns'!B2:B33,'Monthly Returns'!E2:E33),"")</f>
        <v>0.000796040804606851</v>
      </c>
      <c r="F2" s="19" t="n">
        <f aca="false">IFERROR(_xlfn.COVARIANCE.S('Monthly Returns'!B2:B33,'Monthly Returns'!F2:F33),"")</f>
        <v>0.000568091863597092</v>
      </c>
      <c r="G2" s="19" t="n">
        <f aca="false">IFERROR(_xlfn.COVARIANCE.S('Monthly Returns'!B2:B33,'Monthly Returns'!G2:G33),"")</f>
        <v>0.00111432915969032</v>
      </c>
      <c r="H2" s="19" t="n">
        <f aca="false">IFERROR(_xlfn.COVARIANCE.S('Monthly Returns'!B2:B33,'Monthly Returns'!H2:H33),"")</f>
        <v>-0.000544271259717708</v>
      </c>
      <c r="I2" s="19" t="str">
        <f aca="false">IFERROR(_xlfn.COVARIANCE.S('Monthly Returns'!B2:B33,'Monthly Returns'!I2:I33),"")</f>
        <v/>
      </c>
      <c r="J2" s="19" t="n">
        <f aca="false">IFERROR(_xlfn.COVARIANCE.S('Monthly Returns'!B2:B33,'Monthly Returns'!J2:J33),"")</f>
        <v>-3.04501709564664E-005</v>
      </c>
      <c r="K2" s="19" t="n">
        <f aca="false">IFERROR(_xlfn.COVARIANCE.S('Monthly Returns'!B2:B33,'Monthly Returns'!K2:K33),"")</f>
        <v>0.000789447614605098</v>
      </c>
    </row>
    <row r="3" customFormat="false" ht="15" hidden="false" customHeight="false" outlineLevel="0" collapsed="false">
      <c r="A3" s="8" t="s">
        <v>41</v>
      </c>
      <c r="B3" s="19" t="n">
        <f aca="false">IFERROR(_xlfn.COVARIANCE.S('Monthly Returns'!C2:C33,'Monthly Returns'!B2:B33),"")</f>
        <v>0.000867848707326822</v>
      </c>
      <c r="C3" s="19" t="n">
        <f aca="false">IFERROR(_xlfn.COVARIANCE.S('Monthly Returns'!C2:C33,'Monthly Returns'!C2:C33),"")</f>
        <v>0.00149754206080698</v>
      </c>
      <c r="D3" s="19" t="n">
        <f aca="false">IFERROR(_xlfn.COVARIANCE.S('Monthly Returns'!C2:C33,'Monthly Returns'!D2:D33),"")</f>
        <v>6.34010482378972E-006</v>
      </c>
      <c r="E3" s="19" t="n">
        <f aca="false">IFERROR(_xlfn.COVARIANCE.S('Monthly Returns'!C2:C33,'Monthly Returns'!E2:E33),"")</f>
        <v>0.000454178436207775</v>
      </c>
      <c r="F3" s="19" t="n">
        <f aca="false">IFERROR(_xlfn.COVARIANCE.S('Monthly Returns'!C2:C33,'Monthly Returns'!F2:F33),"")</f>
        <v>0.000443129253846315</v>
      </c>
      <c r="G3" s="19" t="n">
        <f aca="false">IFERROR(_xlfn.COVARIANCE.S('Monthly Returns'!C2:C33,'Monthly Returns'!G2:G33),"")</f>
        <v>0.00081319295963493</v>
      </c>
      <c r="H3" s="19" t="n">
        <f aca="false">IFERROR(_xlfn.COVARIANCE.S('Monthly Returns'!C2:C33,'Monthly Returns'!H2:H33),"")</f>
        <v>-0.000621511831272</v>
      </c>
      <c r="I3" s="19" t="str">
        <f aca="false">IFERROR(_xlfn.COVARIANCE.S('Monthly Returns'!C2:C33,'Monthly Returns'!I2:I33),"")</f>
        <v/>
      </c>
      <c r="J3" s="19" t="n">
        <f aca="false">IFERROR(_xlfn.COVARIANCE.S('Monthly Returns'!C2:C33,'Monthly Returns'!J2:J33),"")</f>
        <v>0.00139627861109946</v>
      </c>
      <c r="K3" s="19" t="n">
        <f aca="false">IFERROR(_xlfn.COVARIANCE.S('Monthly Returns'!C2:C33,'Monthly Returns'!K2:K33),"")</f>
        <v>0.00113269195141253</v>
      </c>
    </row>
    <row r="4" customFormat="false" ht="15" hidden="false" customHeight="false" outlineLevel="0" collapsed="false">
      <c r="A4" s="8" t="s">
        <v>43</v>
      </c>
      <c r="B4" s="19" t="n">
        <f aca="false">IFERROR(_xlfn.COVARIANCE.S('Monthly Returns'!D2:D33,'Monthly Returns'!B2:B33),"")</f>
        <v>-6.21247226713076E-005</v>
      </c>
      <c r="C4" s="19" t="n">
        <f aca="false">IFERROR(_xlfn.COVARIANCE.S('Monthly Returns'!D2:D33,'Monthly Returns'!C2:C33),"")</f>
        <v>6.34010482378972E-006</v>
      </c>
      <c r="D4" s="19" t="n">
        <f aca="false">IFERROR(_xlfn.COVARIANCE.S('Monthly Returns'!D2:D33,'Monthly Returns'!D2:D33),"")</f>
        <v>0.00534166366819035</v>
      </c>
      <c r="E4" s="19" t="n">
        <f aca="false">IFERROR(_xlfn.COVARIANCE.S('Monthly Returns'!D2:D33,'Monthly Returns'!E2:E33),"")</f>
        <v>0.00313387192542413</v>
      </c>
      <c r="F4" s="19" t="n">
        <f aca="false">IFERROR(_xlfn.COVARIANCE.S('Monthly Returns'!D2:D33,'Monthly Returns'!F2:F33),"")</f>
        <v>0.00123179846582535</v>
      </c>
      <c r="G4" s="19" t="n">
        <f aca="false">IFERROR(_xlfn.COVARIANCE.S('Monthly Returns'!D2:D33,'Monthly Returns'!G2:G33),"")</f>
        <v>0.00107057929885168</v>
      </c>
      <c r="H4" s="19" t="n">
        <f aca="false">IFERROR(_xlfn.COVARIANCE.S('Monthly Returns'!D2:D33,'Monthly Returns'!H2:H33),"")</f>
        <v>-0.000137326997543454</v>
      </c>
      <c r="I4" s="19" t="str">
        <f aca="false">IFERROR(_xlfn.COVARIANCE.S('Monthly Returns'!D2:D33,'Monthly Returns'!I2:I33),"")</f>
        <v/>
      </c>
      <c r="J4" s="19" t="n">
        <f aca="false">IFERROR(_xlfn.COVARIANCE.S('Monthly Returns'!D2:D33,'Monthly Returns'!J2:J33),"")</f>
        <v>0.000993567741707307</v>
      </c>
      <c r="K4" s="19" t="n">
        <f aca="false">IFERROR(_xlfn.COVARIANCE.S('Monthly Returns'!D2:D33,'Monthly Returns'!K2:K33),"")</f>
        <v>0.000900701171704132</v>
      </c>
    </row>
    <row r="5" customFormat="false" ht="15" hidden="false" customHeight="false" outlineLevel="0" collapsed="false">
      <c r="A5" s="8" t="s">
        <v>45</v>
      </c>
      <c r="B5" s="19" t="n">
        <f aca="false">IFERROR(_xlfn.COVARIANCE.S('Monthly Returns'!E2:E33,'Monthly Returns'!B2:B33),"")</f>
        <v>0.000796040804606851</v>
      </c>
      <c r="C5" s="19" t="n">
        <f aca="false">IFERROR(_xlfn.COVARIANCE.S('Monthly Returns'!E2:E33,'Monthly Returns'!C2:C33),"")</f>
        <v>0.000454178436207775</v>
      </c>
      <c r="D5" s="19" t="n">
        <f aca="false">IFERROR(_xlfn.COVARIANCE.S('Monthly Returns'!E2:E33,'Monthly Returns'!D2:D33),"")</f>
        <v>0.00313387192542413</v>
      </c>
      <c r="E5" s="19" t="n">
        <f aca="false">IFERROR(_xlfn.COVARIANCE.S('Monthly Returns'!E2:E33,'Monthly Returns'!E2:E33),"")</f>
        <v>0.00517815467414038</v>
      </c>
      <c r="F5" s="19" t="n">
        <f aca="false">IFERROR(_xlfn.COVARIANCE.S('Monthly Returns'!E2:E33,'Monthly Returns'!F2:F33),"")</f>
        <v>0.000207045098081494</v>
      </c>
      <c r="G5" s="19" t="n">
        <f aca="false">IFERROR(_xlfn.COVARIANCE.S('Monthly Returns'!E2:E33,'Monthly Returns'!G2:G33),"")</f>
        <v>0.000825723489625332</v>
      </c>
      <c r="H5" s="19" t="n">
        <f aca="false">IFERROR(_xlfn.COVARIANCE.S('Monthly Returns'!E2:E33,'Monthly Returns'!H2:H33),"")</f>
        <v>-0.000319618021758188</v>
      </c>
      <c r="I5" s="19" t="str">
        <f aca="false">IFERROR(_xlfn.COVARIANCE.S('Monthly Returns'!E2:E33,'Monthly Returns'!I2:I33),"")</f>
        <v/>
      </c>
      <c r="J5" s="19" t="n">
        <f aca="false">IFERROR(_xlfn.COVARIANCE.S('Monthly Returns'!E2:E33,'Monthly Returns'!J2:J33),"")</f>
        <v>0.00093750238531247</v>
      </c>
      <c r="K5" s="19" t="n">
        <f aca="false">IFERROR(_xlfn.COVARIANCE.S('Monthly Returns'!E2:E33,'Monthly Returns'!K2:K33),"")</f>
        <v>0.000900662662543979</v>
      </c>
    </row>
    <row r="6" customFormat="false" ht="15" hidden="false" customHeight="false" outlineLevel="0" collapsed="false">
      <c r="A6" s="8" t="s">
        <v>47</v>
      </c>
      <c r="B6" s="19" t="n">
        <f aca="false">IFERROR(_xlfn.COVARIANCE.S('Monthly Returns'!F2:F33,'Monthly Returns'!B2:B33),"")</f>
        <v>0.000568091863597092</v>
      </c>
      <c r="C6" s="19" t="n">
        <f aca="false">IFERROR(_xlfn.COVARIANCE.S('Monthly Returns'!F2:F33,'Monthly Returns'!C2:C33),"")</f>
        <v>0.000443129253846315</v>
      </c>
      <c r="D6" s="19" t="n">
        <f aca="false">IFERROR(_xlfn.COVARIANCE.S('Monthly Returns'!F2:F33,'Monthly Returns'!D2:D33),"")</f>
        <v>0.00123179846582535</v>
      </c>
      <c r="E6" s="19" t="n">
        <f aca="false">IFERROR(_xlfn.COVARIANCE.S('Monthly Returns'!F2:F33,'Monthly Returns'!E2:E33),"")</f>
        <v>0.000207045098081494</v>
      </c>
      <c r="F6" s="19" t="n">
        <f aca="false">IFERROR(_xlfn.COVARIANCE.S('Monthly Returns'!F2:F33,'Monthly Returns'!F2:F33),"")</f>
        <v>0.00416374367138749</v>
      </c>
      <c r="G6" s="19" t="n">
        <f aca="false">IFERROR(_xlfn.COVARIANCE.S('Monthly Returns'!F2:F33,'Monthly Returns'!G2:G33),"")</f>
        <v>0.0011660113003223</v>
      </c>
      <c r="H6" s="19" t="n">
        <f aca="false">IFERROR(_xlfn.COVARIANCE.S('Monthly Returns'!F2:F33,'Monthly Returns'!H2:H33),"")</f>
        <v>0.00141869311125255</v>
      </c>
      <c r="I6" s="19" t="str">
        <f aca="false">IFERROR(_xlfn.COVARIANCE.S('Monthly Returns'!F2:F33,'Monthly Returns'!I2:I33),"")</f>
        <v/>
      </c>
      <c r="J6" s="19" t="n">
        <f aca="false">IFERROR(_xlfn.COVARIANCE.S('Monthly Returns'!F2:F33,'Monthly Returns'!J2:J33),"")</f>
        <v>0.000419178566692742</v>
      </c>
      <c r="K6" s="19" t="n">
        <f aca="false">IFERROR(_xlfn.COVARIANCE.S('Monthly Returns'!F2:F33,'Monthly Returns'!K2:K33),"")</f>
        <v>0.000400900428196369</v>
      </c>
    </row>
    <row r="7" customFormat="false" ht="15" hidden="false" customHeight="false" outlineLevel="0" collapsed="false">
      <c r="A7" s="8" t="s">
        <v>49</v>
      </c>
      <c r="B7" s="19" t="n">
        <f aca="false">IFERROR(_xlfn.COVARIANCE.S('Monthly Returns'!G2:G33,'Monthly Returns'!B2:B33),"")</f>
        <v>0.00111432915969032</v>
      </c>
      <c r="C7" s="19" t="n">
        <f aca="false">IFERROR(_xlfn.COVARIANCE.S('Monthly Returns'!G2:G33,'Monthly Returns'!C2:C33),"")</f>
        <v>0.00081319295963493</v>
      </c>
      <c r="D7" s="19" t="n">
        <f aca="false">IFERROR(_xlfn.COVARIANCE.S('Monthly Returns'!G2:G33,'Monthly Returns'!D2:D33),"")</f>
        <v>0.00107057929885168</v>
      </c>
      <c r="E7" s="19" t="n">
        <f aca="false">IFERROR(_xlfn.COVARIANCE.S('Monthly Returns'!G2:G33,'Monthly Returns'!E2:E33),"")</f>
        <v>0.000825723489625332</v>
      </c>
      <c r="F7" s="19" t="n">
        <f aca="false">IFERROR(_xlfn.COVARIANCE.S('Monthly Returns'!G2:G33,'Monthly Returns'!F2:F33),"")</f>
        <v>0.0011660113003223</v>
      </c>
      <c r="G7" s="19" t="n">
        <f aca="false">IFERROR(_xlfn.COVARIANCE.S('Monthly Returns'!G2:G33,'Monthly Returns'!G2:G33),"")</f>
        <v>0.00358162184821222</v>
      </c>
      <c r="H7" s="19" t="n">
        <f aca="false">IFERROR(_xlfn.COVARIANCE.S('Monthly Returns'!G2:G33,'Monthly Returns'!H2:H33),"")</f>
        <v>0.00159370635682594</v>
      </c>
      <c r="I7" s="19" t="str">
        <f aca="false">IFERROR(_xlfn.COVARIANCE.S('Monthly Returns'!G2:G33,'Monthly Returns'!I2:I33),"")</f>
        <v/>
      </c>
      <c r="J7" s="19" t="n">
        <f aca="false">IFERROR(_xlfn.COVARIANCE.S('Monthly Returns'!G2:G33,'Monthly Returns'!J2:J33),"")</f>
        <v>0.00199856465658548</v>
      </c>
      <c r="K7" s="19" t="n">
        <f aca="false">IFERROR(_xlfn.COVARIANCE.S('Monthly Returns'!G2:G33,'Monthly Returns'!K2:K33),"")</f>
        <v>0.00139862153019188</v>
      </c>
    </row>
    <row r="8" customFormat="false" ht="15" hidden="false" customHeight="false" outlineLevel="0" collapsed="false">
      <c r="A8" s="8" t="s">
        <v>51</v>
      </c>
      <c r="B8" s="19" t="n">
        <f aca="false">IFERROR(_xlfn.COVARIANCE.S('Monthly Returns'!H2:H33,'Monthly Returns'!B2:B33),"")</f>
        <v>-0.000544271259717708</v>
      </c>
      <c r="C8" s="19" t="n">
        <f aca="false">IFERROR(_xlfn.COVARIANCE.S('Monthly Returns'!H2:H33,'Monthly Returns'!C2:C33),"")</f>
        <v>-0.000621511831272</v>
      </c>
      <c r="D8" s="19" t="n">
        <f aca="false">IFERROR(_xlfn.COVARIANCE.S('Monthly Returns'!H2:H33,'Monthly Returns'!D2:D33),"")</f>
        <v>-0.000137326997543454</v>
      </c>
      <c r="E8" s="19" t="n">
        <f aca="false">IFERROR(_xlfn.COVARIANCE.S('Monthly Returns'!H2:H33,'Monthly Returns'!E2:E33),"")</f>
        <v>-0.000319618021758188</v>
      </c>
      <c r="F8" s="19" t="n">
        <f aca="false">IFERROR(_xlfn.COVARIANCE.S('Monthly Returns'!H2:H33,'Monthly Returns'!F2:F33),"")</f>
        <v>0.00141869311125255</v>
      </c>
      <c r="G8" s="19" t="n">
        <f aca="false">IFERROR(_xlfn.COVARIANCE.S('Monthly Returns'!H2:H33,'Monthly Returns'!G2:G33),"")</f>
        <v>0.00159370635682594</v>
      </c>
      <c r="H8" s="19" t="n">
        <f aca="false">IFERROR(_xlfn.COVARIANCE.S('Monthly Returns'!H2:H33,'Monthly Returns'!H2:H33),"")</f>
        <v>0.00489793552786311</v>
      </c>
      <c r="I8" s="19" t="str">
        <f aca="false">IFERROR(_xlfn.COVARIANCE.S('Monthly Returns'!H2:H33,'Monthly Returns'!I2:I33),"")</f>
        <v/>
      </c>
      <c r="J8" s="19" t="n">
        <f aca="false">IFERROR(_xlfn.COVARIANCE.S('Monthly Returns'!H2:H33,'Monthly Returns'!J2:J33),"")</f>
        <v>0.000455133497250919</v>
      </c>
      <c r="K8" s="19" t="n">
        <f aca="false">IFERROR(_xlfn.COVARIANCE.S('Monthly Returns'!H2:H33,'Monthly Returns'!K2:K33),"")</f>
        <v>0.000856259853837937</v>
      </c>
    </row>
    <row r="9" customFormat="false" ht="15" hidden="false" customHeight="false" outlineLevel="0" collapsed="false">
      <c r="A9" s="8" t="s">
        <v>53</v>
      </c>
      <c r="B9" s="19" t="str">
        <f aca="false">IFERROR(_xlfn.COVARIANCE.S('Monthly Returns'!I2:I33,'Monthly Returns'!B2:B33),"")</f>
        <v/>
      </c>
      <c r="C9" s="19" t="str">
        <f aca="false">IFERROR(_xlfn.COVARIANCE.S('Monthly Returns'!I2:I33,'Monthly Returns'!C2:C33),"")</f>
        <v/>
      </c>
      <c r="D9" s="19" t="str">
        <f aca="false">IFERROR(_xlfn.COVARIANCE.S('Monthly Returns'!I2:I33,'Monthly Returns'!D2:D33),"")</f>
        <v/>
      </c>
      <c r="E9" s="19" t="str">
        <f aca="false">IFERROR(_xlfn.COVARIANCE.S('Monthly Returns'!I2:I33,'Monthly Returns'!E2:E33),"")</f>
        <v/>
      </c>
      <c r="F9" s="19" t="str">
        <f aca="false">IFERROR(_xlfn.COVARIANCE.S('Monthly Returns'!I2:I33,'Monthly Returns'!F2:F33),"")</f>
        <v/>
      </c>
      <c r="G9" s="19" t="str">
        <f aca="false">IFERROR(_xlfn.COVARIANCE.S('Monthly Returns'!I2:I33,'Monthly Returns'!G2:G33),"")</f>
        <v/>
      </c>
      <c r="H9" s="19" t="str">
        <f aca="false">IFERROR(_xlfn.COVARIANCE.S('Monthly Returns'!I2:I33,'Monthly Returns'!H2:H33),"")</f>
        <v/>
      </c>
      <c r="I9" s="19" t="str">
        <f aca="false">IFERROR(_xlfn.COVARIANCE.S('Monthly Returns'!I2:I33,'Monthly Returns'!I2:I33),"")</f>
        <v/>
      </c>
      <c r="J9" s="19" t="str">
        <f aca="false">IFERROR(_xlfn.COVARIANCE.S('Monthly Returns'!I2:I33,'Monthly Returns'!J2:J33),"")</f>
        <v/>
      </c>
      <c r="K9" s="19" t="str">
        <f aca="false">IFERROR(_xlfn.COVARIANCE.S('Monthly Returns'!I2:I33,'Monthly Returns'!K2:K33),"")</f>
        <v/>
      </c>
    </row>
    <row r="10" customFormat="false" ht="15" hidden="false" customHeight="false" outlineLevel="0" collapsed="false">
      <c r="A10" s="8" t="s">
        <v>55</v>
      </c>
      <c r="B10" s="19" t="n">
        <f aca="false">IFERROR(_xlfn.COVARIANCE.S('Monthly Returns'!J2:J33,'Monthly Returns'!B2:B33),"")</f>
        <v>-3.04501709564664E-005</v>
      </c>
      <c r="C10" s="19" t="n">
        <f aca="false">IFERROR(_xlfn.COVARIANCE.S('Monthly Returns'!J2:J33,'Monthly Returns'!C2:C33),"")</f>
        <v>0.00139627861109946</v>
      </c>
      <c r="D10" s="19" t="n">
        <f aca="false">IFERROR(_xlfn.COVARIANCE.S('Monthly Returns'!J2:J33,'Monthly Returns'!D2:D33),"")</f>
        <v>0.000993567741707307</v>
      </c>
      <c r="E10" s="19" t="n">
        <f aca="false">IFERROR(_xlfn.COVARIANCE.S('Monthly Returns'!J2:J33,'Monthly Returns'!E2:E33),"")</f>
        <v>0.00093750238531247</v>
      </c>
      <c r="F10" s="19" t="n">
        <f aca="false">IFERROR(_xlfn.COVARIANCE.S('Monthly Returns'!J2:J33,'Monthly Returns'!F2:F33),"")</f>
        <v>0.000419178566692742</v>
      </c>
      <c r="G10" s="19" t="n">
        <f aca="false">IFERROR(_xlfn.COVARIANCE.S('Monthly Returns'!J2:J33,'Monthly Returns'!G2:G33),"")</f>
        <v>0.00199856465658548</v>
      </c>
      <c r="H10" s="19" t="n">
        <f aca="false">IFERROR(_xlfn.COVARIANCE.S('Monthly Returns'!J2:J33,'Monthly Returns'!H2:H33),"")</f>
        <v>0.000455133497250919</v>
      </c>
      <c r="I10" s="19" t="str">
        <f aca="false">IFERROR(_xlfn.COVARIANCE.S('Monthly Returns'!J2:J33,'Monthly Returns'!I2:I33),"")</f>
        <v/>
      </c>
      <c r="J10" s="19" t="n">
        <f aca="false">IFERROR(_xlfn.COVARIANCE.S('Monthly Returns'!J2:J33,'Monthly Returns'!J2:J33),"")</f>
        <v>0.0049526807292702</v>
      </c>
      <c r="K10" s="19" t="n">
        <f aca="false">IFERROR(_xlfn.COVARIANCE.S('Monthly Returns'!J2:J33,'Monthly Returns'!K2:K33),"")</f>
        <v>0.00189097687091865</v>
      </c>
    </row>
    <row r="11" customFormat="false" ht="15" hidden="false" customHeight="false" outlineLevel="0" collapsed="false">
      <c r="A11" s="8" t="s">
        <v>57</v>
      </c>
      <c r="B11" s="19" t="n">
        <f aca="false">IFERROR(_xlfn.COVARIANCE.S('Monthly Returns'!K2:K33,'Monthly Returns'!B2:B33),"")</f>
        <v>0.000789447614605098</v>
      </c>
      <c r="C11" s="19" t="n">
        <f aca="false">IFERROR(_xlfn.COVARIANCE.S('Monthly Returns'!K2:K33,'Monthly Returns'!C2:C33),"")</f>
        <v>0.00113269195141253</v>
      </c>
      <c r="D11" s="19" t="n">
        <f aca="false">IFERROR(_xlfn.COVARIANCE.S('Monthly Returns'!K2:K33,'Monthly Returns'!D2:D33),"")</f>
        <v>0.000900701171704132</v>
      </c>
      <c r="E11" s="19" t="n">
        <f aca="false">IFERROR(_xlfn.COVARIANCE.S('Monthly Returns'!K2:K33,'Monthly Returns'!E2:E33),"")</f>
        <v>0.000900662662543979</v>
      </c>
      <c r="F11" s="19" t="n">
        <f aca="false">IFERROR(_xlfn.COVARIANCE.S('Monthly Returns'!K2:K33,'Monthly Returns'!F2:F33),"")</f>
        <v>0.000400900428196369</v>
      </c>
      <c r="G11" s="19" t="n">
        <f aca="false">IFERROR(_xlfn.COVARIANCE.S('Monthly Returns'!K2:K33,'Monthly Returns'!G2:G33),"")</f>
        <v>0.00139862153019188</v>
      </c>
      <c r="H11" s="19" t="n">
        <f aca="false">IFERROR(_xlfn.COVARIANCE.S('Monthly Returns'!K2:K33,'Monthly Returns'!H2:H33),"")</f>
        <v>0.000856259853837937</v>
      </c>
      <c r="I11" s="19" t="str">
        <f aca="false">IFERROR(_xlfn.COVARIANCE.S('Monthly Returns'!K2:K33,'Monthly Returns'!I2:I33),"")</f>
        <v/>
      </c>
      <c r="J11" s="19" t="n">
        <f aca="false">IFERROR(_xlfn.COVARIANCE.S('Monthly Returns'!K2:K33,'Monthly Returns'!J2:J33),"")</f>
        <v>0.00189097687091865</v>
      </c>
      <c r="K11" s="19" t="n">
        <f aca="false">IFERROR(_xlfn.COVARIANCE.S('Monthly Returns'!K2:K33,'Monthly Returns'!K2:K33),"")</f>
        <v>0.00344552630895212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4"/>
  </cols>
  <sheetData>
    <row r="1" customFormat="false" ht="15" hidden="false" customHeight="false" outlineLevel="0" collapsed="false">
      <c r="A1" s="17"/>
      <c r="B1" s="18" t="s">
        <v>39</v>
      </c>
      <c r="C1" s="18" t="s">
        <v>41</v>
      </c>
      <c r="D1" s="18" t="s">
        <v>43</v>
      </c>
      <c r="E1" s="18" t="s">
        <v>45</v>
      </c>
      <c r="F1" s="18" t="s">
        <v>47</v>
      </c>
      <c r="G1" s="18" t="s">
        <v>49</v>
      </c>
      <c r="H1" s="18" t="s">
        <v>51</v>
      </c>
      <c r="I1" s="18" t="s">
        <v>53</v>
      </c>
      <c r="J1" s="18" t="s">
        <v>55</v>
      </c>
      <c r="K1" s="18" t="s">
        <v>57</v>
      </c>
    </row>
    <row r="2" customFormat="false" ht="15" hidden="false" customHeight="false" outlineLevel="0" collapsed="false">
      <c r="A2" s="20" t="s">
        <v>60</v>
      </c>
      <c r="B2" s="21" t="n">
        <v>0.1</v>
      </c>
      <c r="C2" s="21" t="n">
        <v>0.1</v>
      </c>
      <c r="D2" s="21" t="n">
        <v>0.1</v>
      </c>
      <c r="E2" s="21" t="n">
        <v>0.1</v>
      </c>
      <c r="F2" s="21" t="n">
        <v>0.1</v>
      </c>
      <c r="G2" s="21" t="n">
        <v>0.1</v>
      </c>
      <c r="H2" s="21" t="n">
        <v>0.1</v>
      </c>
      <c r="I2" s="21" t="n">
        <v>0.1</v>
      </c>
      <c r="J2" s="21" t="n">
        <v>0.1</v>
      </c>
      <c r="K2" s="21" t="n">
        <v>0.1</v>
      </c>
    </row>
    <row r="3" customFormat="false" ht="15" hidden="false" customHeight="false" outlineLevel="0" collapsed="false">
      <c r="A3" s="16" t="s">
        <v>61</v>
      </c>
      <c r="B3" s="15" t="n">
        <f aca="false">SUM(B2:K2)</f>
        <v>1</v>
      </c>
      <c r="C3" s="22"/>
      <c r="D3" s="22"/>
      <c r="E3" s="22"/>
      <c r="F3" s="22"/>
      <c r="G3" s="22"/>
      <c r="H3" s="22"/>
      <c r="I3" s="22"/>
      <c r="J3" s="22"/>
      <c r="K3" s="22"/>
    </row>
    <row r="5" customFormat="false" ht="15" hidden="false" customHeight="false" outlineLevel="0" collapsed="false">
      <c r="A5" s="16" t="s">
        <v>62</v>
      </c>
      <c r="B5" s="19" t="n">
        <f aca="false">IFERROR(SUMPRODUCT(B2:K2,'Covariance Matrix'!B2:K2),"")</f>
        <v>0.000611632438032635</v>
      </c>
      <c r="C5" s="19" t="n">
        <f aca="false">IFERROR(SUMPRODUCT(B2:K2,'Covariance Matrix'!B3:K3),"")</f>
        <v>0.000598969025388659</v>
      </c>
      <c r="D5" s="19" t="n">
        <f aca="false">IFERROR(SUMPRODUCT(B2:K2,'Covariance Matrix'!B4:K4),"")</f>
        <v>0.0012479070656312</v>
      </c>
      <c r="E5" s="19" t="n">
        <f aca="false">IFERROR(SUMPRODUCT(B2:K2,'Covariance Matrix'!B5:K5),"")</f>
        <v>0.00121135614541842</v>
      </c>
      <c r="F5" s="19" t="n">
        <f aca="false">IFERROR(SUMPRODUCT(B2:K2,'Covariance Matrix'!B6:K6),"")</f>
        <v>0.00100185917592017</v>
      </c>
      <c r="G5" s="19" t="n">
        <f aca="false">IFERROR(SUMPRODUCT(B2:K2,'Covariance Matrix'!B7:K7),"")</f>
        <v>0.00135623505999401</v>
      </c>
      <c r="H5" s="19" t="n">
        <f aca="false">IFERROR(SUMPRODUCT(B2:K2,'Covariance Matrix'!B8:K8),"")</f>
        <v>0.00075990002367391</v>
      </c>
      <c r="I5" s="19" t="n">
        <f aca="false">IFERROR(SUMPRODUCT(B2:K2,'Covariance Matrix'!B9:K9),"")</f>
        <v>0</v>
      </c>
      <c r="J5" s="19" t="n">
        <f aca="false">IFERROR(SUMPRODUCT(B2:K2,'Covariance Matrix'!B10:K10),"")</f>
        <v>0.00130134328878808</v>
      </c>
      <c r="K5" s="19" t="n">
        <f aca="false">IFERROR(SUMPRODUCT(B2:K2,'Covariance Matrix'!B11:K11),"")</f>
        <v>0.00117157883923627</v>
      </c>
    </row>
    <row r="7" customFormat="false" ht="15" hidden="false" customHeight="false" outlineLevel="0" collapsed="false">
      <c r="A7" s="20" t="s">
        <v>63</v>
      </c>
      <c r="B7" s="23" t="n">
        <f aca="false">IFERROR(SUMPRODUCT(B2:K2,B5:K5),"")</f>
        <v>0.000926078106208334</v>
      </c>
    </row>
    <row r="8" customFormat="false" ht="15" hidden="false" customHeight="false" outlineLevel="0" collapsed="false">
      <c r="A8" s="16" t="s">
        <v>64</v>
      </c>
      <c r="B8" s="15" t="n">
        <f aca="false">IFERROR(SQRT(B7),"")</f>
        <v>0.0304315314469767</v>
      </c>
    </row>
    <row r="9" customFormat="false" ht="15" hidden="false" customHeight="false" outlineLevel="0" collapsed="false">
      <c r="A9" s="16" t="s">
        <v>65</v>
      </c>
      <c r="B9" s="15" t="n">
        <f aca="false">IFERROR(SUMPRODUCT(TRANSPOSE(B2:K2),Stats!C2:C11),"")</f>
        <v>0.00556360003690125</v>
      </c>
    </row>
    <row r="13" customFormat="false" ht="15" hidden="false" customHeight="false" outlineLevel="0" collapsed="false">
      <c r="A13" s="2" t="s">
        <v>66</v>
      </c>
    </row>
    <row r="14" customFormat="false" ht="15" hidden="false" customHeight="false" outlineLevel="0" collapsed="false">
      <c r="A14" s="6" t="s">
        <v>67</v>
      </c>
    </row>
    <row r="15" customFormat="false" ht="15" hidden="false" customHeight="false" outlineLevel="0" collapsed="false">
      <c r="A15" s="6" t="s">
        <v>68</v>
      </c>
    </row>
    <row r="16" customFormat="false" ht="15" hidden="false" customHeight="false" outlineLevel="0" collapsed="false">
      <c r="A16" s="6" t="s">
        <v>69</v>
      </c>
    </row>
    <row r="17" customFormat="false" ht="15" hidden="false" customHeight="false" outlineLevel="0" collapsed="false">
      <c r="A17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13"/>
  </cols>
  <sheetData>
    <row r="1" customFormat="false" ht="27.75" hidden="false" customHeight="true" outlineLevel="0" collapsed="false">
      <c r="A1" s="8" t="s">
        <v>71</v>
      </c>
      <c r="B1" s="8" t="s">
        <v>72</v>
      </c>
      <c r="C1" s="8" t="s">
        <v>73</v>
      </c>
      <c r="D1" s="8" t="s">
        <v>74</v>
      </c>
      <c r="E1" s="8" t="s">
        <v>44</v>
      </c>
      <c r="F1" s="8" t="s">
        <v>75</v>
      </c>
      <c r="G1" s="8" t="s">
        <v>48</v>
      </c>
      <c r="H1" s="8" t="s">
        <v>76</v>
      </c>
      <c r="I1" s="8" t="s">
        <v>77</v>
      </c>
      <c r="J1" s="8" t="s">
        <v>78</v>
      </c>
      <c r="K1" s="8" t="s">
        <v>79</v>
      </c>
    </row>
    <row r="2" customFormat="false" ht="15" hidden="false" customHeight="false" outlineLevel="0" collapsed="false">
      <c r="A2" s="16" t="s">
        <v>80</v>
      </c>
      <c r="B2" s="24" t="n">
        <v>3.46944695195361E-018</v>
      </c>
      <c r="C2" s="24" t="n">
        <v>0.0544878944270238</v>
      </c>
      <c r="D2" s="24" t="n">
        <v>3.81639164714898E-017</v>
      </c>
      <c r="E2" s="24" t="n">
        <v>0</v>
      </c>
      <c r="F2" s="24" t="n">
        <v>0.322660389955383</v>
      </c>
      <c r="G2" s="24" t="n">
        <v>0.0139987913085857</v>
      </c>
      <c r="H2" s="24" t="n">
        <v>0.508008905458723</v>
      </c>
      <c r="I2" s="25"/>
      <c r="J2" s="24" t="n">
        <v>5.20417042793042E-018</v>
      </c>
      <c r="K2" s="24" t="n">
        <v>0.100844018850285</v>
      </c>
    </row>
    <row r="3" customFormat="false" ht="15" hidden="false" customHeight="false" outlineLevel="0" collapsed="false">
      <c r="A3" s="16" t="s">
        <v>81</v>
      </c>
      <c r="B3" s="24" t="n">
        <v>2.46655994240452E-018</v>
      </c>
      <c r="C3" s="24" t="n">
        <v>0.0864039014284181</v>
      </c>
      <c r="D3" s="24" t="n">
        <v>0.170149989945627</v>
      </c>
      <c r="E3" s="24" t="n">
        <v>0</v>
      </c>
      <c r="F3" s="24" t="n">
        <v>0.216078352932928</v>
      </c>
      <c r="G3" s="24" t="n">
        <v>0.0798181029184511</v>
      </c>
      <c r="H3" s="24" t="n">
        <v>0.419425357845107</v>
      </c>
      <c r="I3" s="25"/>
      <c r="J3" s="24" t="n">
        <v>0</v>
      </c>
      <c r="K3" s="24" t="n">
        <v>0.0281242949294688</v>
      </c>
    </row>
    <row r="4" customFormat="false" ht="15" hidden="false" customHeight="false" outlineLevel="0" collapsed="false">
      <c r="A4" s="16" t="s">
        <v>82</v>
      </c>
      <c r="B4" s="24" t="n">
        <v>1.54498809579184E-018</v>
      </c>
      <c r="C4" s="24" t="n">
        <v>0.0925615633947639</v>
      </c>
      <c r="D4" s="24" t="n">
        <v>0.169475896550465</v>
      </c>
      <c r="E4" s="24" t="n">
        <v>0.0365337329278721</v>
      </c>
      <c r="F4" s="24" t="n">
        <v>0.205143550764778</v>
      </c>
      <c r="G4" s="24" t="n">
        <v>0.105911603547682</v>
      </c>
      <c r="H4" s="24" t="n">
        <v>0.352311365634439</v>
      </c>
      <c r="I4" s="25"/>
      <c r="J4" s="24" t="n">
        <v>0</v>
      </c>
      <c r="K4" s="24" t="n">
        <v>0.0380622871799999</v>
      </c>
    </row>
    <row r="5" customFormat="false" ht="15" hidden="false" customHeight="false" outlineLevel="0" collapsed="false">
      <c r="A5" s="16" t="s">
        <v>83</v>
      </c>
      <c r="B5" s="24" t="n">
        <v>0</v>
      </c>
      <c r="C5" s="24" t="n">
        <v>0.0962514358152926</v>
      </c>
      <c r="D5" s="24" t="n">
        <v>0.171239080672829</v>
      </c>
      <c r="E5" s="24" t="n">
        <v>0.0371525792981176</v>
      </c>
      <c r="F5" s="24" t="n">
        <v>0.201243403941938</v>
      </c>
      <c r="G5" s="24" t="n">
        <v>0.113111299115085</v>
      </c>
      <c r="H5" s="24" t="n">
        <v>0.321332330799227</v>
      </c>
      <c r="I5" s="25"/>
      <c r="J5" s="24" t="n">
        <v>0</v>
      </c>
      <c r="K5" s="24" t="n">
        <v>0.059669870357511</v>
      </c>
    </row>
    <row r="6" customFormat="false" ht="15" hidden="false" customHeight="false" outlineLevel="0" collapsed="false">
      <c r="A6" s="16" t="s">
        <v>84</v>
      </c>
      <c r="B6" s="24" t="n">
        <v>0</v>
      </c>
      <c r="C6" s="24" t="n">
        <v>0.118145167759891</v>
      </c>
      <c r="D6" s="24" t="n">
        <v>0.143547943158631</v>
      </c>
      <c r="E6" s="24" t="n">
        <v>0.0251340318171837</v>
      </c>
      <c r="F6" s="24" t="n">
        <v>0.199869749989208</v>
      </c>
      <c r="G6" s="24" t="n">
        <v>0.120514803248512</v>
      </c>
      <c r="H6" s="24" t="n">
        <v>0.353074270813758</v>
      </c>
      <c r="I6" s="25"/>
      <c r="J6" s="24" t="n">
        <v>5.908901840046E-018</v>
      </c>
      <c r="K6" s="24" t="n">
        <v>0.0397140332128157</v>
      </c>
    </row>
    <row r="7" customFormat="false" ht="15" hidden="false" customHeight="false" outlineLevel="0" collapsed="false">
      <c r="A7" s="16" t="s">
        <v>85</v>
      </c>
      <c r="B7" s="24" t="n">
        <v>0</v>
      </c>
      <c r="C7" s="24" t="n">
        <v>0.098427629793569</v>
      </c>
      <c r="D7" s="24" t="n">
        <v>0.173472157805646</v>
      </c>
      <c r="E7" s="24" t="n">
        <v>0</v>
      </c>
      <c r="F7" s="24" t="n">
        <v>0.258304751275388</v>
      </c>
      <c r="G7" s="24" t="n">
        <v>0.109578431204322</v>
      </c>
      <c r="H7" s="24" t="n">
        <v>0.331874058722782</v>
      </c>
      <c r="I7" s="25"/>
      <c r="J7" s="24" t="n">
        <v>0</v>
      </c>
      <c r="K7" s="24" t="n">
        <v>0.0283429711982932</v>
      </c>
    </row>
    <row r="8" customFormat="false" ht="15" hidden="false" customHeight="false" outlineLevel="0" collapsed="false">
      <c r="A8" s="16" t="s">
        <v>86</v>
      </c>
      <c r="B8" s="24" t="n">
        <v>0</v>
      </c>
      <c r="C8" s="24" t="n">
        <v>0.0846097396755362</v>
      </c>
      <c r="D8" s="24" t="n">
        <v>0.163221071583354</v>
      </c>
      <c r="E8" s="24" t="n">
        <v>1.27630924492278E-017</v>
      </c>
      <c r="F8" s="24" t="n">
        <v>0.242426558747507</v>
      </c>
      <c r="G8" s="24" t="n">
        <v>0.143932606044882</v>
      </c>
      <c r="H8" s="24" t="n">
        <v>0.342404999898687</v>
      </c>
      <c r="I8" s="25"/>
      <c r="J8" s="24" t="n">
        <v>0</v>
      </c>
      <c r="K8" s="24" t="n">
        <v>0.0234050240500358</v>
      </c>
    </row>
    <row r="9" customFormat="false" ht="15" hidden="false" customHeight="false" outlineLevel="0" collapsed="false">
      <c r="A9" s="16" t="s">
        <v>87</v>
      </c>
      <c r="B9" s="24" t="n">
        <v>0.0999844567718764</v>
      </c>
      <c r="C9" s="24" t="n">
        <v>0.166644600269216</v>
      </c>
      <c r="D9" s="24" t="n">
        <v>0.0463936014573629</v>
      </c>
      <c r="E9" s="24" t="n">
        <v>0.0206245558340762</v>
      </c>
      <c r="F9" s="24" t="n">
        <v>0.153634974163798</v>
      </c>
      <c r="G9" s="24" t="n">
        <v>1.96240593219876E-017</v>
      </c>
      <c r="H9" s="24" t="n">
        <v>0.343633981376507</v>
      </c>
      <c r="I9" s="25"/>
      <c r="J9" s="24" t="n">
        <v>1.59377719355369E-017</v>
      </c>
      <c r="K9" s="24" t="n">
        <v>0.169083830127164</v>
      </c>
    </row>
    <row r="10" customFormat="false" ht="15" hidden="false" customHeight="false" outlineLevel="0" collapsed="false">
      <c r="A10" s="16" t="s">
        <v>88</v>
      </c>
      <c r="B10" s="24" t="n">
        <v>0.101795147557699</v>
      </c>
      <c r="C10" s="24" t="n">
        <v>0.170371807039851</v>
      </c>
      <c r="D10" s="24" t="n">
        <v>0.0473895792263831</v>
      </c>
      <c r="E10" s="24" t="n">
        <v>0.0124551510412966</v>
      </c>
      <c r="F10" s="24" t="n">
        <v>0.167316236338995</v>
      </c>
      <c r="G10" s="24" t="n">
        <v>0</v>
      </c>
      <c r="H10" s="24" t="n">
        <v>0.330588833060342</v>
      </c>
      <c r="I10" s="25"/>
      <c r="J10" s="24" t="n">
        <v>0</v>
      </c>
      <c r="K10" s="24" t="n">
        <v>0.170083245735434</v>
      </c>
    </row>
    <row r="11" customFormat="false" ht="15" hidden="false" customHeight="false" outlineLevel="0" collapsed="false">
      <c r="A11" s="16" t="s">
        <v>89</v>
      </c>
      <c r="B11" s="24" t="n">
        <v>0.0807050167786146</v>
      </c>
      <c r="C11" s="24" t="n">
        <v>0.171789942812201</v>
      </c>
      <c r="D11" s="24" t="n">
        <v>0.061835706518872</v>
      </c>
      <c r="E11" s="24" t="n">
        <v>0.00561550176246448</v>
      </c>
      <c r="F11" s="24" t="n">
        <v>0.158310858929149</v>
      </c>
      <c r="G11" s="24" t="n">
        <v>0</v>
      </c>
      <c r="H11" s="24" t="n">
        <v>0.316216945619204</v>
      </c>
      <c r="I11" s="25"/>
      <c r="J11" s="24" t="n">
        <v>0</v>
      </c>
      <c r="K11" s="24" t="n">
        <v>0.205526027579496</v>
      </c>
    </row>
    <row r="12" customFormat="false" ht="15" hidden="false" customHeight="false" outlineLevel="0" collapsed="false">
      <c r="A12" s="16" t="s">
        <v>90</v>
      </c>
      <c r="B12" s="24" t="n">
        <v>0.175924565720191</v>
      </c>
      <c r="C12" s="24" t="n">
        <v>0.472527303981616</v>
      </c>
      <c r="D12" s="24" t="n">
        <v>0.163281159050089</v>
      </c>
      <c r="E12" s="24" t="n">
        <v>0</v>
      </c>
      <c r="F12" s="24" t="n">
        <v>0</v>
      </c>
      <c r="G12" s="24" t="n">
        <v>1.64718741820517E-017</v>
      </c>
      <c r="H12" s="24" t="n">
        <v>0.188266971248103</v>
      </c>
      <c r="I12" s="25"/>
      <c r="J12" s="24" t="n">
        <v>2.18121100228289E-018</v>
      </c>
      <c r="K12" s="24" t="n">
        <v>0</v>
      </c>
    </row>
    <row r="13" customFormat="false" ht="15" hidden="false" customHeight="false" outlineLevel="0" collapsed="false">
      <c r="A13" s="16" t="s">
        <v>91</v>
      </c>
      <c r="B13" s="24" t="n">
        <v>0.210906105068092</v>
      </c>
      <c r="C13" s="24" t="n">
        <v>0.367644762888394</v>
      </c>
      <c r="D13" s="24" t="n">
        <v>0.138579907562732</v>
      </c>
      <c r="E13" s="24" t="n">
        <v>0</v>
      </c>
      <c r="F13" s="24" t="n">
        <v>1.56125112837913E-017</v>
      </c>
      <c r="G13" s="24" t="n">
        <v>0</v>
      </c>
      <c r="H13" s="24" t="n">
        <v>0.181991074423172</v>
      </c>
      <c r="I13" s="25"/>
      <c r="J13" s="24" t="n">
        <v>0.0157049618599705</v>
      </c>
      <c r="K13" s="24" t="n">
        <v>0.0851731881976395</v>
      </c>
    </row>
    <row r="14" customFormat="false" ht="15" hidden="false" customHeight="false" outlineLevel="0" collapsed="false">
      <c r="A14" s="16" t="s">
        <v>92</v>
      </c>
      <c r="B14" s="24" t="n">
        <v>0.204816979209582</v>
      </c>
      <c r="C14" s="24" t="n">
        <v>0.367559799471414</v>
      </c>
      <c r="D14" s="24" t="n">
        <v>0.165158444966715</v>
      </c>
      <c r="E14" s="24" t="n">
        <v>0</v>
      </c>
      <c r="F14" s="24" t="n">
        <v>1.38777878078145E-017</v>
      </c>
      <c r="G14" s="24" t="n">
        <v>0</v>
      </c>
      <c r="H14" s="24" t="n">
        <v>0.174301228543694</v>
      </c>
      <c r="I14" s="25"/>
      <c r="J14" s="24" t="n">
        <v>0.048391721665156</v>
      </c>
      <c r="K14" s="24" t="n">
        <v>0.0397718261434387</v>
      </c>
    </row>
    <row r="15" customFormat="false" ht="15" hidden="false" customHeight="false" outlineLevel="0" collapsed="false">
      <c r="A15" s="16" t="s">
        <v>93</v>
      </c>
      <c r="B15" s="24" t="n">
        <v>0.19500920612358</v>
      </c>
      <c r="C15" s="24" t="n">
        <v>0.422023023028629</v>
      </c>
      <c r="D15" s="24" t="n">
        <v>0.18781496199352</v>
      </c>
      <c r="E15" s="24" t="n">
        <v>4.77048955893622E-018</v>
      </c>
      <c r="F15" s="24" t="n">
        <v>0</v>
      </c>
      <c r="G15" s="24" t="n">
        <v>5.03069808033274E-017</v>
      </c>
      <c r="H15" s="24" t="n">
        <v>0.195152808854271</v>
      </c>
      <c r="I15" s="25"/>
      <c r="J15" s="24" t="n">
        <v>8.67361737988404E-018</v>
      </c>
      <c r="K15" s="24" t="n">
        <v>2.42861286636753E-017</v>
      </c>
    </row>
    <row r="16" customFormat="false" ht="15" hidden="false" customHeight="false" outlineLevel="0" collapsed="false">
      <c r="A16" s="16" t="s">
        <v>94</v>
      </c>
      <c r="B16" s="24" t="n">
        <v>0.2715211142641</v>
      </c>
      <c r="C16" s="24" t="n">
        <v>0.303154712019181</v>
      </c>
      <c r="D16" s="24" t="n">
        <v>0.114351637053417</v>
      </c>
      <c r="E16" s="24" t="n">
        <v>0</v>
      </c>
      <c r="F16" s="24" t="n">
        <v>0</v>
      </c>
      <c r="G16" s="24" t="n">
        <v>0</v>
      </c>
      <c r="H16" s="24" t="n">
        <v>0.195702318803008</v>
      </c>
      <c r="I16" s="25"/>
      <c r="J16" s="24" t="n">
        <v>0.0251384170231865</v>
      </c>
      <c r="K16" s="24" t="n">
        <v>0.0901318008371071</v>
      </c>
    </row>
    <row r="17" customFormat="false" ht="15" hidden="false" customHeight="false" outlineLevel="0" collapsed="false">
      <c r="A17" s="16" t="s">
        <v>95</v>
      </c>
      <c r="B17" s="24" t="n">
        <v>0.272866505752064</v>
      </c>
      <c r="C17" s="24" t="n">
        <v>0.243423695812661</v>
      </c>
      <c r="D17" s="24" t="n">
        <v>0.1542942044492</v>
      </c>
      <c r="E17" s="24" t="n">
        <v>0</v>
      </c>
      <c r="F17" s="24" t="n">
        <v>0</v>
      </c>
      <c r="G17" s="24" t="n">
        <v>0</v>
      </c>
      <c r="H17" s="24" t="n">
        <v>0.222037164039272</v>
      </c>
      <c r="I17" s="25"/>
      <c r="J17" s="24" t="n">
        <v>0.0211812695241116</v>
      </c>
      <c r="K17" s="24" t="n">
        <v>0.0861971604226908</v>
      </c>
    </row>
    <row r="18" customFormat="false" ht="15" hidden="false" customHeight="false" outlineLevel="0" collapsed="false">
      <c r="A18" s="16" t="s">
        <v>96</v>
      </c>
      <c r="B18" s="24" t="n">
        <v>0.284054696879382</v>
      </c>
      <c r="C18" s="24" t="n">
        <v>0.250848008576361</v>
      </c>
      <c r="D18" s="24" t="n">
        <v>0.164068461891198</v>
      </c>
      <c r="E18" s="24" t="n">
        <v>0.0101821088010471</v>
      </c>
      <c r="F18" s="24" t="n">
        <v>1.90277481271206E-017</v>
      </c>
      <c r="G18" s="24" t="n">
        <v>1.13841228110978E-017</v>
      </c>
      <c r="H18" s="24" t="n">
        <v>0.228948844303298</v>
      </c>
      <c r="I18" s="25"/>
      <c r="J18" s="24" t="n">
        <v>0.00524416714883316</v>
      </c>
      <c r="K18" s="24" t="n">
        <v>0.0566537123998802</v>
      </c>
    </row>
    <row r="19" customFormat="false" ht="15" hidden="false" customHeight="false" outlineLevel="0" collapsed="false">
      <c r="A19" s="16" t="s">
        <v>97</v>
      </c>
      <c r="B19" s="24" t="n">
        <v>0.284217028726699</v>
      </c>
      <c r="C19" s="24" t="n">
        <v>0.249444089342337</v>
      </c>
      <c r="D19" s="24" t="n">
        <v>0.158940177564038</v>
      </c>
      <c r="E19" s="24" t="n">
        <v>0.00874591435311765</v>
      </c>
      <c r="F19" s="24" t="n">
        <v>1.52330405234213E-017</v>
      </c>
      <c r="G19" s="24" t="n">
        <v>0</v>
      </c>
      <c r="H19" s="24" t="n">
        <v>0.228351613103853</v>
      </c>
      <c r="I19" s="25"/>
      <c r="J19" s="24" t="n">
        <v>0.0124064971060276</v>
      </c>
      <c r="K19" s="24" t="n">
        <v>0.0578946798039276</v>
      </c>
    </row>
    <row r="20" customFormat="false" ht="15" hidden="false" customHeight="false" outlineLevel="0" collapsed="false">
      <c r="A20" s="16" t="s">
        <v>98</v>
      </c>
      <c r="B20" s="24" t="n">
        <v>0.281471343481143</v>
      </c>
      <c r="C20" s="24" t="n">
        <v>0.254600394921679</v>
      </c>
      <c r="D20" s="24" t="n">
        <v>0.160070399352205</v>
      </c>
      <c r="E20" s="24" t="n">
        <v>0.0081938400545953</v>
      </c>
      <c r="F20" s="24" t="n">
        <v>4.40457132572236E-018</v>
      </c>
      <c r="G20" s="24" t="n">
        <v>0</v>
      </c>
      <c r="H20" s="24" t="n">
        <v>0.229865422173295</v>
      </c>
      <c r="I20" s="25"/>
      <c r="J20" s="24" t="n">
        <v>0.0135715450270334</v>
      </c>
      <c r="K20" s="24" t="n">
        <v>0.0522270549900498</v>
      </c>
    </row>
    <row r="21" customFormat="false" ht="15" hidden="false" customHeight="false" outlineLevel="0" collapsed="false">
      <c r="A21" s="16" t="s">
        <v>99</v>
      </c>
      <c r="B21" s="24" t="n">
        <v>0.285278821841764</v>
      </c>
      <c r="C21" s="24" t="n">
        <v>0.274164022937891</v>
      </c>
      <c r="D21" s="24" t="n">
        <v>0.169221019955352</v>
      </c>
      <c r="E21" s="24" t="n">
        <v>0.000179904074678518</v>
      </c>
      <c r="F21" s="24" t="n">
        <v>9.80660865013139E-017</v>
      </c>
      <c r="G21" s="24" t="n">
        <v>1.13754830750358E-016</v>
      </c>
      <c r="H21" s="24" t="n">
        <v>0.232650398155928</v>
      </c>
      <c r="I21" s="25"/>
      <c r="J21" s="24" t="n">
        <v>2.42861286636753E-017</v>
      </c>
      <c r="K21" s="24" t="n">
        <v>0.0385058330343863</v>
      </c>
    </row>
    <row r="22" customFormat="false" ht="15" hidden="false" customHeight="false" outlineLevel="0" collapsed="false">
      <c r="A22" s="16" t="s">
        <v>100</v>
      </c>
      <c r="B22" s="24" t="n">
        <v>0.28813276293662</v>
      </c>
      <c r="C22" s="24" t="n">
        <v>0.276123837830698</v>
      </c>
      <c r="D22" s="24" t="n">
        <v>0.167072422410524</v>
      </c>
      <c r="E22" s="24" t="n">
        <v>0</v>
      </c>
      <c r="F22" s="24" t="n">
        <v>0</v>
      </c>
      <c r="G22" s="24" t="n">
        <v>0</v>
      </c>
      <c r="H22" s="24" t="n">
        <v>0.229270829251398</v>
      </c>
      <c r="I22" s="25"/>
      <c r="J22" s="24" t="n">
        <v>0</v>
      </c>
      <c r="K22" s="24" t="n">
        <v>0.0394001475707612</v>
      </c>
    </row>
    <row r="23" customFormat="false" ht="15" hidden="false" customHeight="false" outlineLevel="0" collapsed="false">
      <c r="A23" s="16" t="s">
        <v>101</v>
      </c>
      <c r="B23" s="24" t="n">
        <v>0.290431033527449</v>
      </c>
      <c r="C23" s="24" t="n">
        <v>0.261369760517575</v>
      </c>
      <c r="D23" s="24" t="n">
        <v>0.162772947943242</v>
      </c>
      <c r="E23" s="24" t="n">
        <v>0.00320163677677011</v>
      </c>
      <c r="F23" s="24" t="n">
        <v>4.27175655959289E-017</v>
      </c>
      <c r="G23" s="24" t="n">
        <v>1.458251921993E-017</v>
      </c>
      <c r="H23" s="24" t="n">
        <v>0.237655966845448</v>
      </c>
      <c r="I23" s="25"/>
      <c r="J23" s="24" t="n">
        <v>0.00567685198958566</v>
      </c>
      <c r="K23" s="24" t="n">
        <v>0.0388918023999299</v>
      </c>
    </row>
    <row r="24" customFormat="false" ht="15" hidden="false" customHeight="false" outlineLevel="0" collapsed="false">
      <c r="A24" s="16" t="s">
        <v>102</v>
      </c>
      <c r="B24" s="24" t="n">
        <v>0.286123849859157</v>
      </c>
      <c r="C24" s="24" t="n">
        <v>0.270265566069471</v>
      </c>
      <c r="D24" s="24" t="n">
        <v>0.143767004128349</v>
      </c>
      <c r="E24" s="24" t="n">
        <v>0.0156692230541678</v>
      </c>
      <c r="F24" s="24" t="n">
        <v>3.94649590784724E-017</v>
      </c>
      <c r="G24" s="24" t="n">
        <v>4.70001641772466E-017</v>
      </c>
      <c r="H24" s="24" t="n">
        <v>0.241374106818874</v>
      </c>
      <c r="I24" s="25"/>
      <c r="J24" s="24" t="n">
        <v>0.0112987034597551</v>
      </c>
      <c r="K24" s="24" t="n">
        <v>0.0315015466102258</v>
      </c>
    </row>
    <row r="25" customFormat="false" ht="15" hidden="false" customHeight="false" outlineLevel="0" collapsed="false">
      <c r="A25" s="16" t="s">
        <v>103</v>
      </c>
      <c r="B25" s="24" t="n">
        <v>0.289336785585213</v>
      </c>
      <c r="C25" s="24" t="n">
        <v>0.274188190069779</v>
      </c>
      <c r="D25" s="24" t="n">
        <v>0.141889059514576</v>
      </c>
      <c r="E25" s="24" t="n">
        <v>0.014168417179727</v>
      </c>
      <c r="F25" s="24" t="n">
        <v>2.65629532258949E-018</v>
      </c>
      <c r="G25" s="24" t="n">
        <v>2.68611088233284E-017</v>
      </c>
      <c r="H25" s="24" t="n">
        <v>0.246193452505739</v>
      </c>
      <c r="I25" s="25"/>
      <c r="J25" s="24" t="n">
        <v>0.00865014777812862</v>
      </c>
      <c r="K25" s="24" t="n">
        <v>0.0255739473668369</v>
      </c>
    </row>
    <row r="26" customFormat="false" ht="15" hidden="false" customHeight="false" outlineLevel="0" collapsed="false">
      <c r="A26" s="16" t="s">
        <v>104</v>
      </c>
      <c r="B26" s="24" t="n">
        <v>0.290853214724332</v>
      </c>
      <c r="C26" s="24" t="n">
        <v>0.284881585969694</v>
      </c>
      <c r="D26" s="24" t="n">
        <v>0.161711602270784</v>
      </c>
      <c r="E26" s="24" t="n">
        <v>0.00780031507537051</v>
      </c>
      <c r="F26" s="24" t="n">
        <v>5.31259064517897E-018</v>
      </c>
      <c r="G26" s="24" t="n">
        <v>0</v>
      </c>
      <c r="H26" s="24" t="n">
        <v>0.25475328195982</v>
      </c>
      <c r="I26" s="25"/>
      <c r="J26" s="24" t="n">
        <v>2.60208521396521E-018</v>
      </c>
      <c r="K26" s="24" t="n">
        <v>0</v>
      </c>
    </row>
    <row r="27" customFormat="false" ht="15" hidden="false" customHeight="false" outlineLevel="0" collapsed="false">
      <c r="A27" s="16" t="s">
        <v>105</v>
      </c>
      <c r="B27" s="24" t="n">
        <v>0.262019894765559</v>
      </c>
      <c r="C27" s="24" t="n">
        <v>0.32945518398163</v>
      </c>
      <c r="D27" s="24" t="n">
        <v>0.148955035836923</v>
      </c>
      <c r="E27" s="24" t="n">
        <v>0.0484619432175263</v>
      </c>
      <c r="F27" s="24" t="n">
        <v>0</v>
      </c>
      <c r="G27" s="24" t="n">
        <v>6.37950555992394E-018</v>
      </c>
      <c r="H27" s="24" t="n">
        <v>0.211107942198361</v>
      </c>
      <c r="I27" s="25"/>
      <c r="J27" s="24" t="n">
        <v>0</v>
      </c>
      <c r="K27" s="2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6"/>
  </cols>
  <sheetData>
    <row r="1" customFormat="false" ht="15" hidden="false" customHeight="false" outlineLevel="0" collapsed="false">
      <c r="A1" s="8" t="s">
        <v>106</v>
      </c>
      <c r="B1" s="8" t="s">
        <v>107</v>
      </c>
      <c r="C1" s="8" t="s">
        <v>108</v>
      </c>
      <c r="D1" s="8" t="s">
        <v>109</v>
      </c>
    </row>
    <row r="2" customFormat="false" ht="15" hidden="false" customHeight="false" outlineLevel="0" collapsed="false">
      <c r="A2" s="16" t="s">
        <v>80</v>
      </c>
      <c r="B2" s="26" t="n">
        <v>98.3784683228977</v>
      </c>
      <c r="C2" s="26" t="n">
        <v>101.140469138523</v>
      </c>
      <c r="D2" s="27" t="n">
        <v>99.9737652802055</v>
      </c>
    </row>
    <row r="3" customFormat="false" ht="15" hidden="false" customHeight="false" outlineLevel="0" collapsed="false">
      <c r="A3" s="16" t="s">
        <v>81</v>
      </c>
      <c r="B3" s="26" t="n">
        <v>102.126184184783</v>
      </c>
      <c r="C3" s="26" t="n">
        <v>103.060513310545</v>
      </c>
      <c r="D3" s="27" t="n">
        <v>101.156853150173</v>
      </c>
    </row>
    <row r="4" customFormat="false" ht="15" hidden="false" customHeight="false" outlineLevel="0" collapsed="false">
      <c r="A4" s="16" t="s">
        <v>82</v>
      </c>
      <c r="B4" s="26" t="n">
        <v>104.041349653009</v>
      </c>
      <c r="C4" s="26" t="n">
        <v>103.84676461805</v>
      </c>
      <c r="D4" s="27" t="n">
        <v>102.740274392287</v>
      </c>
    </row>
    <row r="5" customFormat="false" ht="15" hidden="false" customHeight="false" outlineLevel="0" collapsed="false">
      <c r="A5" s="16" t="s">
        <v>83</v>
      </c>
      <c r="B5" s="26" t="n">
        <v>104.058513614513</v>
      </c>
      <c r="C5" s="26" t="n">
        <v>103.758862572684</v>
      </c>
      <c r="D5" s="27" t="n">
        <v>104.019295592022</v>
      </c>
    </row>
    <row r="6" customFormat="false" ht="15" hidden="false" customHeight="false" outlineLevel="0" collapsed="false">
      <c r="A6" s="16" t="s">
        <v>84</v>
      </c>
      <c r="B6" s="26" t="n">
        <v>103.134922726725</v>
      </c>
      <c r="C6" s="26" t="n">
        <v>102.598792587143</v>
      </c>
      <c r="D6" s="27" t="n">
        <v>103.678082468772</v>
      </c>
    </row>
    <row r="7" customFormat="false" ht="15" hidden="false" customHeight="false" outlineLevel="0" collapsed="false">
      <c r="A7" s="16" t="s">
        <v>85</v>
      </c>
      <c r="B7" s="26" t="n">
        <v>107.235494815609</v>
      </c>
      <c r="C7" s="26" t="n">
        <v>109.300379059637</v>
      </c>
      <c r="D7" s="27" t="n">
        <v>110.488045763235</v>
      </c>
    </row>
    <row r="8" customFormat="false" ht="15" hidden="false" customHeight="false" outlineLevel="0" collapsed="false">
      <c r="A8" s="16" t="s">
        <v>86</v>
      </c>
      <c r="B8" s="26" t="n">
        <v>118.930531583853</v>
      </c>
      <c r="C8" s="26" t="n">
        <v>117.502772370724</v>
      </c>
      <c r="D8" s="27" t="n">
        <v>114.816118345201</v>
      </c>
    </row>
    <row r="9" customFormat="false" ht="15" hidden="false" customHeight="false" outlineLevel="0" collapsed="false">
      <c r="A9" s="16" t="s">
        <v>87</v>
      </c>
      <c r="B9" s="26" t="n">
        <v>118.458507825062</v>
      </c>
      <c r="C9" s="26" t="n">
        <v>119.188677383194</v>
      </c>
      <c r="D9" s="27" t="n">
        <v>116.126434269976</v>
      </c>
    </row>
    <row r="10" customFormat="false" ht="15" hidden="false" customHeight="false" outlineLevel="0" collapsed="false">
      <c r="A10" s="16" t="s">
        <v>88</v>
      </c>
      <c r="B10" s="26" t="n">
        <v>123.256878911922</v>
      </c>
      <c r="C10" s="26" t="n">
        <v>123.457655563876</v>
      </c>
      <c r="D10" s="27" t="n">
        <v>118.77214143866</v>
      </c>
    </row>
    <row r="11" customFormat="false" ht="15" hidden="false" customHeight="false" outlineLevel="0" collapsed="false">
      <c r="A11" s="16" t="s">
        <v>89</v>
      </c>
      <c r="B11" s="26" t="n">
        <v>111.427819964431</v>
      </c>
      <c r="C11" s="26" t="n">
        <v>114.278526116676</v>
      </c>
      <c r="D11" s="27" t="n">
        <v>111.384214424693</v>
      </c>
    </row>
    <row r="12" customFormat="false" ht="15" hidden="false" customHeight="false" outlineLevel="0" collapsed="false">
      <c r="A12" s="16" t="s">
        <v>90</v>
      </c>
      <c r="B12" s="26" t="n">
        <v>113.466863210057</v>
      </c>
      <c r="C12" s="26" t="n">
        <v>114.02028618893</v>
      </c>
      <c r="D12" s="27" t="n">
        <v>111.042542932456</v>
      </c>
    </row>
    <row r="13" customFormat="false" ht="15" hidden="false" customHeight="false" outlineLevel="0" collapsed="false">
      <c r="A13" s="16" t="s">
        <v>91</v>
      </c>
      <c r="B13" s="26" t="n">
        <v>111.88211873988</v>
      </c>
      <c r="C13" s="26" t="n">
        <v>113.442645788491</v>
      </c>
      <c r="D13" s="27" t="n">
        <v>108.804772612779</v>
      </c>
    </row>
    <row r="14" customFormat="false" ht="15" hidden="false" customHeight="false" outlineLevel="0" collapsed="false">
      <c r="A14" s="16" t="s">
        <v>92</v>
      </c>
      <c r="B14" s="26" t="n">
        <v>112.377959840112</v>
      </c>
      <c r="C14" s="26" t="n">
        <v>112.366484719261</v>
      </c>
      <c r="D14" s="27" t="n">
        <v>108.177107632401</v>
      </c>
    </row>
    <row r="15" customFormat="false" ht="15" hidden="false" customHeight="false" outlineLevel="0" collapsed="false">
      <c r="A15" s="16" t="s">
        <v>93</v>
      </c>
      <c r="B15" s="26" t="n">
        <v>108.161765485767</v>
      </c>
      <c r="C15" s="26" t="n">
        <v>106.061113873196</v>
      </c>
      <c r="D15" s="27" t="n">
        <v>101.809818147582</v>
      </c>
    </row>
    <row r="16" customFormat="false" ht="15" hidden="false" customHeight="false" outlineLevel="0" collapsed="false">
      <c r="A16" s="16" t="s">
        <v>94</v>
      </c>
      <c r="B16" s="26" t="n">
        <v>112.956010107634</v>
      </c>
      <c r="C16" s="26" t="n">
        <v>109.96911525433</v>
      </c>
      <c r="D16" s="27" t="n">
        <v>108.227491950958</v>
      </c>
    </row>
    <row r="17" customFormat="false" ht="15" hidden="false" customHeight="false" outlineLevel="0" collapsed="false">
      <c r="A17" s="16" t="s">
        <v>95</v>
      </c>
      <c r="B17" s="26" t="n">
        <v>118.135279119057</v>
      </c>
      <c r="C17" s="26" t="n">
        <v>113.24722330173</v>
      </c>
      <c r="D17" s="27" t="n">
        <v>111.977133462038</v>
      </c>
    </row>
    <row r="18" customFormat="false" ht="15" hidden="false" customHeight="false" outlineLevel="0" collapsed="false">
      <c r="A18" s="16" t="s">
        <v>96</v>
      </c>
      <c r="B18" s="26" t="n">
        <v>120.202621764146</v>
      </c>
      <c r="C18" s="26" t="n">
        <v>113.953779233573</v>
      </c>
      <c r="D18" s="27" t="n">
        <v>113.893714963949</v>
      </c>
    </row>
    <row r="19" customFormat="false" ht="15" hidden="false" customHeight="false" outlineLevel="0" collapsed="false">
      <c r="A19" s="16" t="s">
        <v>97</v>
      </c>
      <c r="B19" s="26" t="n">
        <v>122.626815055616</v>
      </c>
      <c r="C19" s="26" t="n">
        <v>115.603139865308</v>
      </c>
      <c r="D19" s="27" t="n">
        <v>117.420186098857</v>
      </c>
    </row>
    <row r="20" customFormat="false" ht="15" hidden="false" customHeight="false" outlineLevel="0" collapsed="false">
      <c r="A20" s="16" t="s">
        <v>98</v>
      </c>
      <c r="B20" s="26" t="n">
        <v>122.547441007261</v>
      </c>
      <c r="C20" s="26" t="n">
        <v>114.414845831788</v>
      </c>
      <c r="D20" s="27" t="n">
        <v>113.97493563856</v>
      </c>
    </row>
    <row r="21" customFormat="false" ht="15" hidden="false" customHeight="false" outlineLevel="0" collapsed="false">
      <c r="A21" s="16" t="s">
        <v>99</v>
      </c>
      <c r="B21" s="26" t="n">
        <v>123.566335252999</v>
      </c>
      <c r="C21" s="26" t="n">
        <v>115.16334100336</v>
      </c>
      <c r="D21" s="27" t="n">
        <v>112.403476856081</v>
      </c>
    </row>
    <row r="22" customFormat="false" ht="15" hidden="false" customHeight="false" outlineLevel="0" collapsed="false">
      <c r="A22" s="16" t="s">
        <v>100</v>
      </c>
      <c r="B22" s="26" t="n">
        <v>124.333492393904</v>
      </c>
      <c r="C22" s="26" t="n">
        <v>114.073643751914</v>
      </c>
      <c r="D22" s="27" t="n">
        <v>113.251328336818</v>
      </c>
    </row>
    <row r="23" customFormat="false" ht="15" hidden="false" customHeight="false" outlineLevel="0" collapsed="false">
      <c r="A23" s="16" t="s">
        <v>101</v>
      </c>
      <c r="B23" s="26" t="n">
        <v>127.294612915373</v>
      </c>
      <c r="C23" s="26" t="n">
        <v>117.299148485451</v>
      </c>
      <c r="D23" s="27" t="n">
        <v>118.363746220666</v>
      </c>
    </row>
    <row r="24" customFormat="false" ht="15" hidden="false" customHeight="false" outlineLevel="0" collapsed="false">
      <c r="A24" s="16" t="s">
        <v>102</v>
      </c>
      <c r="B24" s="26" t="n">
        <v>129.794492568524</v>
      </c>
      <c r="C24" s="26" t="n">
        <v>119.078419182261</v>
      </c>
      <c r="D24" s="27" t="n">
        <v>120.57644122121</v>
      </c>
    </row>
    <row r="25" customFormat="false" ht="15" hidden="false" customHeight="false" outlineLevel="0" collapsed="false">
      <c r="A25" s="16" t="s">
        <v>103</v>
      </c>
      <c r="B25" s="26" t="n">
        <v>130.339644236415</v>
      </c>
      <c r="C25" s="26" t="n">
        <v>118.938865213556</v>
      </c>
      <c r="D25" s="27" t="n">
        <v>120.238912996244</v>
      </c>
    </row>
    <row r="26" customFormat="false" ht="15" hidden="false" customHeight="false" outlineLevel="0" collapsed="false">
      <c r="A26" s="16" t="s">
        <v>104</v>
      </c>
      <c r="B26" s="26" t="n">
        <v>124.494235403973</v>
      </c>
      <c r="C26" s="26" t="n">
        <v>112.383071595725</v>
      </c>
      <c r="D26" s="27" t="n">
        <v>116.516422942934</v>
      </c>
    </row>
    <row r="27" customFormat="false" ht="15" hidden="false" customHeight="false" outlineLevel="0" collapsed="false">
      <c r="A27" s="16" t="s">
        <v>105</v>
      </c>
      <c r="B27" s="26" t="n">
        <v>119.43398560043</v>
      </c>
      <c r="C27" s="26" t="n">
        <v>108.652019267331</v>
      </c>
      <c r="D27" s="27" t="n">
        <v>115.862990594143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8"/>
  </cols>
  <sheetData>
    <row r="1" customFormat="false" ht="15" hidden="false" customHeight="false" outlineLevel="0" collapsed="false">
      <c r="A1" s="8" t="s">
        <v>110</v>
      </c>
      <c r="B1" s="8" t="s">
        <v>107</v>
      </c>
      <c r="C1" s="8" t="s">
        <v>108</v>
      </c>
      <c r="D1" s="8" t="s">
        <v>109</v>
      </c>
    </row>
    <row r="2" customFormat="false" ht="15" hidden="false" customHeight="false" outlineLevel="0" collapsed="false">
      <c r="A2" s="16" t="s">
        <v>111</v>
      </c>
      <c r="B2" s="28" t="n">
        <v>0.0854192110418812</v>
      </c>
      <c r="C2" s="28" t="n">
        <v>0.0390413511141821</v>
      </c>
      <c r="D2" s="29" t="n">
        <v>0.0703183080329812</v>
      </c>
    </row>
    <row r="3" customFormat="false" ht="15" hidden="false" customHeight="false" outlineLevel="0" collapsed="false">
      <c r="A3" s="16" t="s">
        <v>112</v>
      </c>
      <c r="B3" s="28" t="n">
        <v>0.132329603946911</v>
      </c>
      <c r="C3" s="28" t="n">
        <v>0.116752422617504</v>
      </c>
      <c r="D3" s="29" t="n">
        <v>0.109028034458403</v>
      </c>
    </row>
    <row r="4" customFormat="false" ht="15" hidden="false" customHeight="false" outlineLevel="0" collapsed="false">
      <c r="A4" s="16" t="s">
        <v>113</v>
      </c>
      <c r="B4" s="26" t="n">
        <v>0.20797811343591</v>
      </c>
      <c r="C4" s="26" t="n">
        <v>-0.155907961243468</v>
      </c>
      <c r="D4" s="27" t="n">
        <v>0.0983547163554486</v>
      </c>
    </row>
    <row r="5" customFormat="false" ht="15" hidden="false" customHeight="false" outlineLevel="0" collapsed="false">
      <c r="A5" s="16" t="s">
        <v>114</v>
      </c>
      <c r="B5" s="28" t="n">
        <v>-0.122468730016617</v>
      </c>
      <c r="C5" s="28" t="n">
        <v>-0.140910999898907</v>
      </c>
      <c r="D5" s="29" t="n">
        <v>-0.142813988917075</v>
      </c>
    </row>
    <row r="7" customFormat="false" ht="39.75" hidden="false" customHeight="true" outlineLevel="0" collapsed="false">
      <c r="A7" s="30" t="s">
        <v>115</v>
      </c>
      <c r="B7" s="30"/>
      <c r="C7" s="30"/>
      <c r="D7" s="30"/>
    </row>
  </sheetData>
  <mergeCells count="1"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2026-10-01T01:40:09Z</dcterms:created>
  <dc:creator>openpyxl</dc:creator>
  <dc:description/>
  <dc:language>en-US</dc:language>
  <cp:lastModifiedBy/>
  <dcterms:modified xsi:type="dcterms:W3CDTF">2026-10-01T01:40:14Z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